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3" autoFilterDateGrouping="1"/>
  </bookViews>
  <sheets>
    <sheet name="1-1_Acceleration" sheetId="1" state="visible" r:id="rId1"/>
    <sheet name="2-1_Acceleration" sheetId="2" state="visible" r:id="rId2"/>
    <sheet name="3-1_Acceleration" sheetId="3" state="visible" r:id="rId3"/>
    <sheet name="结果对比" sheetId="4" state="visible" r:id="rId4"/>
    <sheet name="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name val="宋体"/>
      <charset val="134"/>
      <b val="1"/>
      <sz val="11"/>
    </font>
    <font>
      <name val="Times New Roman"/>
      <family val="1"/>
      <color theme="1"/>
      <sz val="12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1" fontId="0" fillId="0" borderId="0" pivotButton="0" quotePrefix="0" xfId="0"/>
    <xf numFmtId="11" fontId="4" fillId="0" borderId="3" applyAlignment="1" pivotButton="0" quotePrefix="0" xfId="0">
      <alignment vertical="center" wrapText="1"/>
    </xf>
    <xf numFmtId="11" fontId="4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'1-1_Acceleration'!$C$2:$C$11</f>
              <numCache>
                <formatCode>General</formatCode>
                <ptCount val="10"/>
                <pt idx="0">
                  <v>0.06451000000000001</v>
                </pt>
                <pt idx="1">
                  <v>0.06465</v>
                </pt>
                <pt idx="2">
                  <v>0.05443</v>
                </pt>
                <pt idx="3">
                  <v>0.05939</v>
                </pt>
                <pt idx="4">
                  <v>0.05005</v>
                </pt>
                <pt idx="5">
                  <v>0.05106</v>
                </pt>
                <pt idx="6">
                  <v>0.05021</v>
                </pt>
                <pt idx="7">
                  <v>0.05639</v>
                </pt>
                <pt idx="8">
                  <v>0.0562</v>
                </pt>
                <pt idx="9">
                  <v>0.05420000000000001</v>
                </pt>
              </numCache>
            </numRef>
          </val>
          <smooth val="0"/>
        </ser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'1-1_Acceleration'!$D$2:$D$11</f>
              <numCache>
                <formatCode>General</formatCode>
                <ptCount val="10"/>
                <pt idx="0">
                  <v>0.12007</v>
                </pt>
                <pt idx="1">
                  <v>0.13834</v>
                </pt>
                <pt idx="2">
                  <v>0.12645</v>
                </pt>
                <pt idx="3">
                  <v>0.11321</v>
                </pt>
                <pt idx="4">
                  <v>0.09506000000000001</v>
                </pt>
                <pt idx="5">
                  <v>0.07790000000000001</v>
                </pt>
                <pt idx="6">
                  <v>0.07806</v>
                </pt>
                <pt idx="7">
                  <v>0.06974</v>
                </pt>
                <pt idx="8">
                  <v>0.06211</v>
                </pt>
                <pt idx="9">
                  <v>0.06197</v>
                </pt>
              </numCache>
            </numRef>
          </val>
          <smooth val="0"/>
        </ser>
        <ser>
          <idx val="2"/>
          <order val="2"/>
          <tx>
            <strRef>
              <f>'1-1_Acceleration'!$C$13</f>
              <strCache>
                <ptCount val="1"/>
                <pt idx="0">
                  <v>P54000071_range_2D_extreme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'1-1_Acceleration'!$C$14:$C$23</f>
              <numCache>
                <formatCode>General</formatCode>
                <ptCount val="10"/>
                <pt idx="0">
                  <v>0.12666</v>
                </pt>
                <pt idx="1">
                  <v>0.14582</v>
                </pt>
                <pt idx="2">
                  <v>0.1332</v>
                </pt>
                <pt idx="3">
                  <v>0.11929</v>
                </pt>
                <pt idx="4">
                  <v>0.10031</v>
                </pt>
                <pt idx="5">
                  <v>0.08243</v>
                </pt>
                <pt idx="6">
                  <v>0.08245000000000001</v>
                </pt>
                <pt idx="7">
                  <v>0.07392</v>
                </pt>
                <pt idx="8">
                  <v>0.06879</v>
                </pt>
                <pt idx="9">
                  <v>0.06752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805965464"/>
        <axId val="805963664"/>
      </lineChart>
      <catAx>
        <axId val="805965464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05963664"/>
        <crosses val="autoZero"/>
        <auto val="1"/>
        <lblAlgn val="ctr"/>
        <lblOffset val="100"/>
        <noMultiLvlLbl val="0"/>
      </catAx>
      <valAx>
        <axId val="80596366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05965464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'2-1_Acceleration'!$C$2:$C$20</f>
              <numCache>
                <formatCode>General</formatCode>
                <ptCount val="19"/>
                <pt idx="0">
                  <v>0.0804</v>
                </pt>
                <pt idx="1">
                  <v>0.06806999999999999</v>
                </pt>
                <pt idx="2">
                  <v>0.08329</v>
                </pt>
                <pt idx="3">
                  <v>0.06772</v>
                </pt>
                <pt idx="4">
                  <v>0.07282</v>
                </pt>
                <pt idx="5">
                  <v>0.05991</v>
                </pt>
                <pt idx="6">
                  <v>0.05742</v>
                </pt>
                <pt idx="7">
                  <v>0.05216</v>
                </pt>
                <pt idx="8">
                  <v>0.04846</v>
                </pt>
                <pt idx="9">
                  <v>0.04989</v>
                </pt>
                <pt idx="10">
                  <v>0.05655</v>
                </pt>
                <pt idx="11">
                  <v>0.05917</v>
                </pt>
                <pt idx="12">
                  <v>0.06522</v>
                </pt>
                <pt idx="13">
                  <v>0.06489</v>
                </pt>
                <pt idx="14">
                  <v>0.06086</v>
                </pt>
                <pt idx="15">
                  <v>0.0751</v>
                </pt>
                <pt idx="16">
                  <v>0.07943</v>
                </pt>
                <pt idx="17">
                  <v>0.08101</v>
                </pt>
                <pt idx="18">
                  <v>0.08461</v>
                </pt>
              </numCache>
            </numRef>
          </val>
          <smooth val="0"/>
        </ser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'2-1_Acceleration'!$D$2:$D$20</f>
              <numCache>
                <formatCode>General</formatCode>
                <ptCount val="19"/>
                <pt idx="0">
                  <v>0.05933</v>
                </pt>
                <pt idx="1">
                  <v>0.0604</v>
                </pt>
                <pt idx="2">
                  <v>0.06084000000000001</v>
                </pt>
                <pt idx="3">
                  <v>0.05827</v>
                </pt>
                <pt idx="4">
                  <v>0.05471</v>
                </pt>
                <pt idx="5">
                  <v>0.04971</v>
                </pt>
                <pt idx="6">
                  <v>0.04465</v>
                </pt>
                <pt idx="7">
                  <v>0.03394</v>
                </pt>
                <pt idx="8">
                  <v>0.03325</v>
                </pt>
                <pt idx="9">
                  <v>0.03177</v>
                </pt>
                <pt idx="10">
                  <v>0.02769</v>
                </pt>
                <pt idx="11">
                  <v>0.02699</v>
                </pt>
                <pt idx="12">
                  <v>0.02832</v>
                </pt>
                <pt idx="13">
                  <v>0.02658</v>
                </pt>
                <pt idx="14">
                  <v>0.02705</v>
                </pt>
                <pt idx="15">
                  <v>0.02924</v>
                </pt>
                <pt idx="16">
                  <v>0.03366</v>
                </pt>
                <pt idx="17">
                  <v>0.03668</v>
                </pt>
                <pt idx="18">
                  <v>0.03758</v>
                </pt>
              </numCache>
            </numRef>
          </val>
          <smooth val="0"/>
        </ser>
        <ser>
          <idx val="2"/>
          <order val="2"/>
          <tx>
            <strRef>
              <f>'2-1_Acceleration'!$C$22</f>
              <strCache>
                <ptCount val="1"/>
                <pt idx="0">
                  <v>P54000059_range_2D_extreme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'2-1_Acceleration'!$C$23:$C$41</f>
              <numCache>
                <formatCode>General</formatCode>
                <ptCount val="19"/>
                <pt idx="0">
                  <v>0.09107</v>
                </pt>
                <pt idx="1">
                  <v>0.08131999999999999</v>
                </pt>
                <pt idx="2">
                  <v>0.09331</v>
                </pt>
                <pt idx="3">
                  <v>0.07948999999999999</v>
                </pt>
                <pt idx="4">
                  <v>0.08122</v>
                </pt>
                <pt idx="5">
                  <v>0.06938</v>
                </pt>
                <pt idx="6">
                  <v>0.06577</v>
                </pt>
                <pt idx="7">
                  <v>0.05808</v>
                </pt>
                <pt idx="8">
                  <v>0.0539</v>
                </pt>
                <pt idx="9">
                  <v>0.0551</v>
                </pt>
                <pt idx="10">
                  <v>0.06164</v>
                </pt>
                <pt idx="11">
                  <v>0.0649</v>
                </pt>
                <pt idx="12">
                  <v>0.07151</v>
                </pt>
                <pt idx="13">
                  <v>0.07087</v>
                </pt>
                <pt idx="14">
                  <v>0.06667000000000001</v>
                </pt>
                <pt idx="15">
                  <v>0.08201</v>
                </pt>
                <pt idx="16">
                  <v>0.08660999999999999</v>
                </pt>
                <pt idx="17">
                  <v>0.08843999999999999</v>
                </pt>
                <pt idx="18">
                  <v>0.0925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51920952"/>
        <axId val="651921312"/>
      </lineChart>
      <catAx>
        <axId val="651920952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51921312"/>
        <crosses val="autoZero"/>
        <auto val="1"/>
        <lblAlgn val="ctr"/>
        <lblOffset val="100"/>
        <noMultiLvlLbl val="0"/>
      </catAx>
      <valAx>
        <axId val="6519213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5192095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'3-1_Acceleration'!$C$2:$C$20</f>
              <numCache>
                <formatCode>General</formatCode>
                <ptCount val="19"/>
                <pt idx="0">
                  <v>0.06698</v>
                </pt>
                <pt idx="1">
                  <v>0.06431000000000001</v>
                </pt>
                <pt idx="2">
                  <v>0.0639</v>
                </pt>
                <pt idx="3">
                  <v>0.06464</v>
                </pt>
                <pt idx="4">
                  <v>0.06015</v>
                </pt>
                <pt idx="5">
                  <v>0.04651</v>
                </pt>
                <pt idx="6">
                  <v>0.04694</v>
                </pt>
                <pt idx="7">
                  <v>0.04476</v>
                </pt>
                <pt idx="8">
                  <v>0.04523</v>
                </pt>
                <pt idx="9">
                  <v>0.04985</v>
                </pt>
                <pt idx="10">
                  <v>0.04362</v>
                </pt>
                <pt idx="11">
                  <v>0.04395</v>
                </pt>
                <pt idx="12">
                  <v>0.04236</v>
                </pt>
                <pt idx="13">
                  <v>0.04834</v>
                </pt>
                <pt idx="14">
                  <v>0.05207</v>
                </pt>
                <pt idx="15">
                  <v>0.05914</v>
                </pt>
                <pt idx="16">
                  <v>0.06026</v>
                </pt>
                <pt idx="17">
                  <v>0.06497</v>
                </pt>
                <pt idx="18">
                  <v>0.07323</v>
                </pt>
              </numCache>
            </numRef>
          </val>
          <smooth val="0"/>
        </ser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'3-1_Acceleration'!$D$2:$D$20</f>
              <numCache>
                <formatCode>General</formatCode>
                <ptCount val="19"/>
                <pt idx="0">
                  <v>0.03353</v>
                </pt>
                <pt idx="1">
                  <v>0.03577</v>
                </pt>
                <pt idx="2">
                  <v>0.03572</v>
                </pt>
                <pt idx="3">
                  <v>0.03647</v>
                </pt>
                <pt idx="4">
                  <v>0.03686</v>
                </pt>
                <pt idx="5">
                  <v>0.03164</v>
                </pt>
                <pt idx="6">
                  <v>0.02645</v>
                </pt>
                <pt idx="7">
                  <v>0.02312</v>
                </pt>
                <pt idx="8">
                  <v>0.01974</v>
                </pt>
                <pt idx="9">
                  <v>0.01913</v>
                </pt>
                <pt idx="10">
                  <v>0.01741</v>
                </pt>
                <pt idx="11">
                  <v>0.01648</v>
                </pt>
                <pt idx="12">
                  <v>0.01675</v>
                </pt>
                <pt idx="13">
                  <v>0.017</v>
                </pt>
                <pt idx="14">
                  <v>0.01605</v>
                </pt>
                <pt idx="15">
                  <v>0.0166</v>
                </pt>
                <pt idx="16">
                  <v>0.01723</v>
                </pt>
                <pt idx="17">
                  <v>0.01899</v>
                </pt>
                <pt idx="18">
                  <v>0.01932</v>
                </pt>
              </numCache>
            </numRef>
          </val>
          <smooth val="0"/>
        </ser>
        <ser>
          <idx val="2"/>
          <order val="2"/>
          <tx>
            <strRef>
              <f>'3-1_Acceleration'!$C$22</f>
              <strCache>
                <ptCount val="1"/>
                <pt idx="0">
                  <v>P54000067_range_2D_extreme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'3-1_Acceleration'!$C$23:$C$41</f>
              <numCache>
                <formatCode>General</formatCode>
                <ptCount val="19"/>
                <pt idx="0">
                  <v>0.06803000000000001</v>
                </pt>
                <pt idx="1">
                  <v>0.06551999999999999</v>
                </pt>
                <pt idx="2">
                  <v>0.06491</v>
                </pt>
                <pt idx="3">
                  <v>0.06562</v>
                </pt>
                <pt idx="4">
                  <v>0.0614</v>
                </pt>
                <pt idx="5">
                  <v>0.04969</v>
                </pt>
                <pt idx="6">
                  <v>0.04765999999999999</v>
                </pt>
                <pt idx="7">
                  <v>0.04543999999999999</v>
                </pt>
                <pt idx="8">
                  <v>0.04584000000000001</v>
                </pt>
                <pt idx="9">
                  <v>0.0505</v>
                </pt>
                <pt idx="10">
                  <v>0.04415</v>
                </pt>
                <pt idx="11">
                  <v>0.04443</v>
                </pt>
                <pt idx="12">
                  <v>0.04287</v>
                </pt>
                <pt idx="13">
                  <v>0.04892000000000001</v>
                </pt>
                <pt idx="14">
                  <v>0.05275</v>
                </pt>
                <pt idx="15">
                  <v>0.05993</v>
                </pt>
                <pt idx="16">
                  <v>0.06107</v>
                </pt>
                <pt idx="17">
                  <v>0.06591</v>
                </pt>
                <pt idx="18">
                  <v>0.07418999999999999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67422168"/>
        <axId val="656704936"/>
      </lineChart>
      <catAx>
        <axId val="667422168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56704936"/>
        <crosses val="autoZero"/>
        <auto val="1"/>
        <lblAlgn val="ctr"/>
        <lblOffset val="100"/>
        <noMultiLvlLbl val="0"/>
      </catAx>
      <valAx>
        <axId val="6567049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6742216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SAP2000</a:t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结果对比!$E$4</f>
              <strCache>
                <ptCount val="1"/>
                <pt idx="0">
                  <v>X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结果对比!$E$5:$E$14</f>
              <numCache>
                <formatCode>General</formatCode>
                <ptCount val="10"/>
                <pt idx="0">
                  <v>0.06473000000000001</v>
                </pt>
                <pt idx="1">
                  <v>0.06533</v>
                </pt>
                <pt idx="2">
                  <v>0.05547</v>
                </pt>
                <pt idx="3">
                  <v>0.06041</v>
                </pt>
                <pt idx="4">
                  <v>0.0507</v>
                </pt>
                <pt idx="5">
                  <v>0.05158</v>
                </pt>
                <pt idx="6">
                  <v>0.05055</v>
                </pt>
                <pt idx="7">
                  <v>0.05603</v>
                </pt>
                <pt idx="8">
                  <v>0.05539</v>
                </pt>
                <pt idx="9">
                  <v>0.05333</v>
                </pt>
              </numCache>
            </numRef>
          </val>
          <smooth val="0"/>
        </ser>
        <ser>
          <idx val="1"/>
          <order val="1"/>
          <tx>
            <strRef>
              <f>结果对比!$F$4</f>
              <strCache>
                <ptCount val="1"/>
                <pt idx="0">
                  <v>Y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结果对比!$F$5:$F$14</f>
              <numCache>
                <formatCode>General</formatCode>
                <ptCount val="10"/>
                <pt idx="0">
                  <v>0.12651</v>
                </pt>
                <pt idx="1">
                  <v>0.1455</v>
                </pt>
                <pt idx="2">
                  <v>0.13296</v>
                </pt>
                <pt idx="3">
                  <v>0.11895</v>
                </pt>
                <pt idx="4">
                  <v>0.09989000000000001</v>
                </pt>
                <pt idx="5">
                  <v>0.08205</v>
                </pt>
                <pt idx="6">
                  <v>0.08218</v>
                </pt>
                <pt idx="7">
                  <v>0.07331</v>
                </pt>
                <pt idx="8">
                  <v>0.06579</v>
                </pt>
                <pt idx="9">
                  <v>0.06542000000000001</v>
                </pt>
              </numCache>
            </numRef>
          </val>
          <smooth val="0"/>
        </ser>
        <ser>
          <idx val="2"/>
          <order val="2"/>
          <tx>
            <strRef>
              <f>结果对比!$G$4</f>
              <strCache>
                <ptCount val="1"/>
                <pt idx="0">
                  <v>A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结果对比!$G$5:$G$14</f>
              <numCache>
                <formatCode>General</formatCode>
                <ptCount val="10"/>
                <pt idx="0">
                  <v>0.12666</v>
                </pt>
                <pt idx="1">
                  <v>0.14582</v>
                </pt>
                <pt idx="2">
                  <v>0.1332</v>
                </pt>
                <pt idx="3">
                  <v>0.11929</v>
                </pt>
                <pt idx="4">
                  <v>0.10031</v>
                </pt>
                <pt idx="5">
                  <v>0.08243</v>
                </pt>
                <pt idx="6">
                  <v>0.08245000000000001</v>
                </pt>
                <pt idx="7">
                  <v>0.07392</v>
                </pt>
                <pt idx="8">
                  <v>0.06879</v>
                </pt>
                <pt idx="9">
                  <v>0.06752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4487208"/>
        <axId val="694487928"/>
      </lineChart>
      <catAx>
        <axId val="694487208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94487928"/>
        <crosses val="autoZero"/>
        <auto val="1"/>
        <lblAlgn val="ctr"/>
        <lblOffset val="100"/>
        <noMultiLvlLbl val="0"/>
      </catAx>
      <valAx>
        <axId val="6944879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9448720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MATLAB</a:t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结果对比!$B$4</f>
              <strCache>
                <ptCount val="1"/>
                <pt idx="0">
                  <v>X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结果对比!$B$5:$B$14</f>
              <numCache>
                <formatCode>General</formatCode>
                <ptCount val="10"/>
                <pt idx="0">
                  <v>0.144617542256563</v>
                </pt>
                <pt idx="1">
                  <v>0.145743830597801</v>
                </pt>
                <pt idx="2">
                  <v>0.123218319821101</v>
                </pt>
                <pt idx="3">
                  <v>0.119190932832967</v>
                </pt>
                <pt idx="4">
                  <v>0.105740550632465</v>
                </pt>
                <pt idx="5">
                  <v>0.113151330133636</v>
                </pt>
                <pt idx="6">
                  <v>0.104811808145467</v>
                </pt>
                <pt idx="7">
                  <v>0.110446566208899</v>
                </pt>
                <pt idx="8">
                  <v>0.102752485148652</v>
                </pt>
                <pt idx="9">
                  <v>0.0972536592135958</v>
                </pt>
              </numCache>
            </numRef>
          </val>
          <smooth val="0"/>
        </ser>
        <ser>
          <idx val="1"/>
          <order val="1"/>
          <tx>
            <strRef>
              <f>结果对比!$C$4</f>
              <strCache>
                <ptCount val="1"/>
                <pt idx="0">
                  <v>Y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结果对比!$C$5:$C$14</f>
              <numCache>
                <formatCode>General</formatCode>
                <ptCount val="10"/>
                <pt idx="0">
                  <v>0.224229379003534</v>
                </pt>
                <pt idx="1">
                  <v>0.238914852657797</v>
                </pt>
                <pt idx="2">
                  <v>0.195550423711429</v>
                </pt>
                <pt idx="3">
                  <v>0.199966382060583</v>
                </pt>
                <pt idx="4">
                  <v>0.147229371103357</v>
                </pt>
                <pt idx="5">
                  <v>0.11653426316692</v>
                </pt>
                <pt idx="6">
                  <v>0.12734449340182</v>
                </pt>
                <pt idx="7">
                  <v>0.114415712852866</v>
                </pt>
                <pt idx="8">
                  <v>0.0964044043027614</v>
                </pt>
                <pt idx="9">
                  <v>0.10631356936144</v>
                </pt>
              </numCache>
            </numRef>
          </val>
          <smooth val="0"/>
        </ser>
        <ser>
          <idx val="2"/>
          <order val="2"/>
          <tx>
            <strRef>
              <f>结果对比!$D$4</f>
              <strCache>
                <ptCount val="1"/>
                <pt idx="0">
                  <v>A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结果对比!$D$5:$D$14</f>
              <numCache>
                <formatCode>General</formatCode>
                <ptCount val="10"/>
                <pt idx="0">
                  <v>0.228818019395143</v>
                </pt>
                <pt idx="1">
                  <v>0.242018594909096</v>
                </pt>
                <pt idx="2">
                  <v>0.197901025559984</v>
                </pt>
                <pt idx="3">
                  <v>0.201287478382664</v>
                </pt>
                <pt idx="4">
                  <v>0.150365553159441</v>
                </pt>
                <pt idx="5">
                  <v>0.129943884511105</v>
                </pt>
                <pt idx="6">
                  <v>0.13194455836052</v>
                </pt>
                <pt idx="7">
                  <v>0.127221128647636</v>
                </pt>
                <pt idx="8">
                  <v>0.112717366536148</v>
                </pt>
                <pt idx="9">
                  <v>0.115269005057364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5471136"/>
        <axId val="694037728"/>
      </lineChart>
      <catAx>
        <axId val="695471136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94037728"/>
        <crosses val="autoZero"/>
        <auto val="1"/>
        <lblAlgn val="ctr"/>
        <lblOffset val="100"/>
        <noMultiLvlLbl val="0"/>
      </catAx>
      <valAx>
        <axId val="6940377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9547113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MATLAB</a:t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结果对比!$B$29</f>
              <strCache>
                <ptCount val="1"/>
                <pt idx="0">
                  <v>X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结果对比!$B$30:$B$48</f>
              <numCache>
                <formatCode>General</formatCode>
                <ptCount val="19"/>
                <pt idx="0">
                  <v>0.132232093</v>
                </pt>
                <pt idx="1">
                  <v>0.121683868</v>
                </pt>
                <pt idx="2">
                  <v>0.129469308</v>
                </pt>
                <pt idx="3">
                  <v>0.119927643</v>
                </pt>
                <pt idx="4">
                  <v>0.124606461</v>
                </pt>
                <pt idx="5">
                  <v>0.104211697</v>
                </pt>
                <pt idx="6">
                  <v>0.09663227100000001</v>
                </pt>
                <pt idx="7">
                  <v>0.09673604800000001</v>
                </pt>
                <pt idx="8">
                  <v>0.0833724</v>
                </pt>
                <pt idx="9">
                  <v>0.082268566</v>
                </pt>
                <pt idx="10">
                  <v>0.08395169600000001</v>
                </pt>
                <pt idx="11">
                  <v>0.088765076</v>
                </pt>
                <pt idx="12">
                  <v>0.088701158</v>
                </pt>
                <pt idx="13">
                  <v>0.108524897</v>
                </pt>
                <pt idx="14">
                  <v>0.102688188</v>
                </pt>
                <pt idx="15">
                  <v>0.117323212</v>
                </pt>
                <pt idx="16">
                  <v>0.128849013</v>
                </pt>
                <pt idx="17">
                  <v>0.172997672</v>
                </pt>
                <pt idx="18">
                  <v>0.164968139</v>
                </pt>
              </numCache>
            </numRef>
          </val>
          <smooth val="0"/>
        </ser>
        <ser>
          <idx val="1"/>
          <order val="1"/>
          <tx>
            <strRef>
              <f>结果对比!$C$29</f>
              <strCache>
                <ptCount val="1"/>
                <pt idx="0">
                  <v>Y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结果对比!$C$30:$C$48</f>
              <numCache>
                <formatCode>General</formatCode>
                <ptCount val="19"/>
                <pt idx="0">
                  <v>0.095521893</v>
                </pt>
                <pt idx="1">
                  <v>0.097854451</v>
                </pt>
                <pt idx="2">
                  <v>0.09811968</v>
                </pt>
                <pt idx="3">
                  <v>0.09076880499999999</v>
                </pt>
                <pt idx="4">
                  <v>0.092318128</v>
                </pt>
                <pt idx="5">
                  <v>0.07181929300000001</v>
                </pt>
                <pt idx="6">
                  <v>0.06640101700000001</v>
                </pt>
                <pt idx="7">
                  <v>0.058162268</v>
                </pt>
                <pt idx="8">
                  <v>0.056316041</v>
                </pt>
                <pt idx="9">
                  <v>0.049343469</v>
                </pt>
                <pt idx="10">
                  <v>0.055538906</v>
                </pt>
                <pt idx="11">
                  <v>0.047363952</v>
                </pt>
                <pt idx="12">
                  <v>0.051556794</v>
                </pt>
                <pt idx="13">
                  <v>0.053694586</v>
                </pt>
                <pt idx="14">
                  <v>0.053583073</v>
                </pt>
                <pt idx="15">
                  <v>0.059746399</v>
                </pt>
                <pt idx="16">
                  <v>0.069169682</v>
                </pt>
                <pt idx="17">
                  <v>0.07933140900000001</v>
                </pt>
                <pt idx="18">
                  <v>0.086099366</v>
                </pt>
              </numCache>
            </numRef>
          </val>
          <smooth val="0"/>
        </ser>
        <ser>
          <idx val="2"/>
          <order val="2"/>
          <tx>
            <strRef>
              <f>结果对比!$D$29</f>
              <strCache>
                <ptCount val="1"/>
                <pt idx="0">
                  <v>A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结果对比!$D$30:$D$48</f>
              <numCache>
                <formatCode>General</formatCode>
                <ptCount val="19"/>
                <pt idx="0">
                  <v>0.137619637</v>
                </pt>
                <pt idx="1">
                  <v>0.126096269</v>
                </pt>
                <pt idx="2">
                  <v>0.134831579</v>
                </pt>
                <pt idx="3">
                  <v>0.125383893</v>
                </pt>
                <pt idx="4">
                  <v>0.12927704</v>
                </pt>
                <pt idx="5">
                  <v>0.107871893</v>
                </pt>
                <pt idx="6">
                  <v>0.099507069</v>
                </pt>
                <pt idx="7">
                  <v>0.09879360700000001</v>
                </pt>
                <pt idx="8">
                  <v>0.08610860400000001</v>
                </pt>
                <pt idx="9">
                  <v>0.084053221</v>
                </pt>
                <pt idx="10">
                  <v>0.086621157</v>
                </pt>
                <pt idx="11">
                  <v>0.09071779200000001</v>
                </pt>
                <pt idx="12">
                  <v>0.09122053400000001</v>
                </pt>
                <pt idx="13">
                  <v>0.111301978</v>
                </pt>
                <pt idx="14">
                  <v>0.107157216</v>
                </pt>
                <pt idx="15">
                  <v>0.122005851</v>
                </pt>
                <pt idx="16">
                  <v>0.135388114</v>
                </pt>
                <pt idx="17">
                  <v>0.182908398</v>
                </pt>
                <pt idx="18">
                  <v>0.175746287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39893272"/>
        <axId val="739897592"/>
      </lineChart>
      <catAx>
        <axId val="739893272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739897592"/>
        <crosses val="autoZero"/>
        <auto val="1"/>
        <lblAlgn val="ctr"/>
        <lblOffset val="100"/>
        <noMultiLvlLbl val="0"/>
      </catAx>
      <valAx>
        <axId val="73989759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73989327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SAP2000</a:t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结果对比!$E$29</f>
              <strCache>
                <ptCount val="1"/>
                <pt idx="0">
                  <v>X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结果对比!$E$30:$E$48</f>
              <numCache>
                <formatCode>General</formatCode>
                <ptCount val="19"/>
                <pt idx="0">
                  <v>0.08714</v>
                </pt>
                <pt idx="1">
                  <v>0.07382</v>
                </pt>
                <pt idx="2">
                  <v>0.09003</v>
                </pt>
                <pt idx="3">
                  <v>0.07332</v>
                </pt>
                <pt idx="4">
                  <v>0.07887000000000001</v>
                </pt>
                <pt idx="5">
                  <v>0.0649</v>
                </pt>
                <pt idx="6">
                  <v>0.06227000000000001</v>
                </pt>
                <pt idx="7">
                  <v>0.05651</v>
                </pt>
                <pt idx="8">
                  <v>0.05247</v>
                </pt>
                <pt idx="9">
                  <v>0.054</v>
                </pt>
                <pt idx="10">
                  <v>0.0611</v>
                </pt>
                <pt idx="11">
                  <v>0.06404</v>
                </pt>
                <pt idx="12">
                  <v>0.07055</v>
                </pt>
                <pt idx="13">
                  <v>0.07015</v>
                </pt>
                <pt idx="14">
                  <v>0.0658</v>
                </pt>
                <pt idx="15">
                  <v>0.08114</v>
                </pt>
                <pt idx="16">
                  <v>0.08572</v>
                </pt>
                <pt idx="17">
                  <v>0.08746</v>
                </pt>
                <pt idx="18">
                  <v>0.09126999999999999</v>
                </pt>
              </numCache>
            </numRef>
          </val>
          <smooth val="0"/>
        </ser>
        <ser>
          <idx val="1"/>
          <order val="1"/>
          <tx>
            <strRef>
              <f>结果对比!$F$29</f>
              <strCache>
                <ptCount val="1"/>
                <pt idx="0">
                  <v>Y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结果对比!$F$30:$F$48</f>
              <numCache>
                <formatCode>General</formatCode>
                <ptCount val="19"/>
                <pt idx="0">
                  <v>0.06988</v>
                </pt>
                <pt idx="1">
                  <v>0.06988999999999999</v>
                </pt>
                <pt idx="2">
                  <v>0.07117</v>
                </pt>
                <pt idx="3">
                  <v>0.06708</v>
                </pt>
                <pt idx="4">
                  <v>0.06287</v>
                </pt>
                <pt idx="5">
                  <v>0.05754</v>
                </pt>
                <pt idx="6">
                  <v>0.05214</v>
                </pt>
                <pt idx="7">
                  <v>0.03940999999999999</v>
                </pt>
                <pt idx="8">
                  <v>0.03849</v>
                </pt>
                <pt idx="9">
                  <v>0.03678</v>
                </pt>
                <pt idx="10">
                  <v>0.03172</v>
                </pt>
                <pt idx="11">
                  <v>0.03195</v>
                </pt>
                <pt idx="12">
                  <v>0.03362</v>
                </pt>
                <pt idx="13">
                  <v>0.03094</v>
                </pt>
                <pt idx="14">
                  <v>0.032</v>
                </pt>
                <pt idx="15">
                  <v>0.03466</v>
                </pt>
                <pt idx="16">
                  <v>0.0394</v>
                </pt>
                <pt idx="17">
                  <v>0.04261</v>
                </pt>
                <pt idx="18">
                  <v>0.04465</v>
                </pt>
              </numCache>
            </numRef>
          </val>
          <smooth val="0"/>
        </ser>
        <ser>
          <idx val="2"/>
          <order val="2"/>
          <tx>
            <strRef>
              <f>结果对比!$G$29</f>
              <strCache>
                <ptCount val="1"/>
                <pt idx="0">
                  <v>A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结果对比!$G$30:$G$48</f>
              <numCache>
                <formatCode>General</formatCode>
                <ptCount val="19"/>
                <pt idx="0">
                  <v>0.09107</v>
                </pt>
                <pt idx="1">
                  <v>0.08131999999999999</v>
                </pt>
                <pt idx="2">
                  <v>0.09331</v>
                </pt>
                <pt idx="3">
                  <v>0.07948999999999999</v>
                </pt>
                <pt idx="4">
                  <v>0.08122</v>
                </pt>
                <pt idx="5">
                  <v>0.06938</v>
                </pt>
                <pt idx="6">
                  <v>0.06577</v>
                </pt>
                <pt idx="7">
                  <v>0.05808</v>
                </pt>
                <pt idx="8">
                  <v>0.0539</v>
                </pt>
                <pt idx="9">
                  <v>0.0551</v>
                </pt>
                <pt idx="10">
                  <v>0.06164</v>
                </pt>
                <pt idx="11">
                  <v>0.0649</v>
                </pt>
                <pt idx="12">
                  <v>0.07151</v>
                </pt>
                <pt idx="13">
                  <v>0.07087</v>
                </pt>
                <pt idx="14">
                  <v>0.06667000000000001</v>
                </pt>
                <pt idx="15">
                  <v>0.08201</v>
                </pt>
                <pt idx="16">
                  <v>0.08660999999999999</v>
                </pt>
                <pt idx="17">
                  <v>0.08843999999999999</v>
                </pt>
                <pt idx="18">
                  <v>0.0925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39879592"/>
        <axId val="739880672"/>
      </lineChart>
      <catAx>
        <axId val="739879592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739880672"/>
        <crosses val="autoZero"/>
        <auto val="1"/>
        <lblAlgn val="ctr"/>
        <lblOffset val="100"/>
        <noMultiLvlLbl val="0"/>
      </catAx>
      <valAx>
        <axId val="73988067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7398795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MATLAB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结果对比!$B$57</f>
              <strCache>
                <ptCount val="1"/>
                <pt idx="0">
                  <v>X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结果对比!$B$58:$B$76</f>
              <numCache>
                <formatCode>General</formatCode>
                <ptCount val="19"/>
                <pt idx="0">
                  <v>0.131909159254782</v>
                </pt>
                <pt idx="1">
                  <v>0.128983703668261</v>
                </pt>
                <pt idx="2">
                  <v>0.118551883928231</v>
                </pt>
                <pt idx="3">
                  <v>0.12546483785543</v>
                </pt>
                <pt idx="4">
                  <v>0.109851110046099</v>
                </pt>
                <pt idx="5">
                  <v>0.103682403408451</v>
                </pt>
                <pt idx="6">
                  <v>0.09515522176551749</v>
                </pt>
                <pt idx="7">
                  <v>0.0964617397389633</v>
                </pt>
                <pt idx="8">
                  <v>0.0866388522018374</v>
                </pt>
                <pt idx="9">
                  <v>0.0837051543073532</v>
                </pt>
                <pt idx="10">
                  <v>0.0772793078987509</v>
                </pt>
                <pt idx="11">
                  <v>0.0850030223739295</v>
                </pt>
                <pt idx="12">
                  <v>0.08424505886260911</v>
                </pt>
                <pt idx="13">
                  <v>0.08850479525315789</v>
                </pt>
                <pt idx="14">
                  <v>0.0861500564074833</v>
                </pt>
                <pt idx="15">
                  <v>0.0981709786644379</v>
                </pt>
                <pt idx="16">
                  <v>0.118880303918294</v>
                </pt>
                <pt idx="17">
                  <v>0.110334335989004</v>
                </pt>
                <pt idx="18">
                  <v>0.128771874945226</v>
                </pt>
              </numCache>
            </numRef>
          </val>
          <smooth val="0"/>
        </ser>
        <ser>
          <idx val="1"/>
          <order val="1"/>
          <tx>
            <strRef>
              <f>结果对比!$C$57</f>
              <strCache>
                <ptCount val="1"/>
                <pt idx="0">
                  <v>Y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结果对比!$C$58:$C$76</f>
              <numCache>
                <formatCode>General</formatCode>
                <ptCount val="19"/>
                <pt idx="0">
                  <v>0.058929978706447</v>
                </pt>
                <pt idx="1">
                  <v>0.0515377703908114</v>
                </pt>
                <pt idx="2">
                  <v>0.058047353042828</v>
                </pt>
                <pt idx="3">
                  <v>0.0578351830419796</v>
                </pt>
                <pt idx="4">
                  <v>0.0557633855480765</v>
                </pt>
                <pt idx="5">
                  <v>0.0533594268870025</v>
                </pt>
                <pt idx="6">
                  <v>0.0445599739689421</v>
                </pt>
                <pt idx="7">
                  <v>0.0412971253674703</v>
                </pt>
                <pt idx="8">
                  <v>0.0413652706962129</v>
                </pt>
                <pt idx="9">
                  <v>0.038890644140652</v>
                </pt>
                <pt idx="10">
                  <v>0.0376743691780608</v>
                </pt>
                <pt idx="11">
                  <v>0.0377178647369395</v>
                </pt>
                <pt idx="12">
                  <v>0.0349528946807325</v>
                </pt>
                <pt idx="13">
                  <v>0.0354591236084681</v>
                </pt>
                <pt idx="14">
                  <v>0.0400253100743882</v>
                </pt>
                <pt idx="15">
                  <v>0.0402184629352275</v>
                </pt>
                <pt idx="16">
                  <v>0.0443381989938114</v>
                </pt>
                <pt idx="17">
                  <v>0.0461231619416555</v>
                </pt>
                <pt idx="18">
                  <v>0.0459019414281077</v>
                </pt>
              </numCache>
            </numRef>
          </val>
          <smooth val="0"/>
        </ser>
        <ser>
          <idx val="2"/>
          <order val="2"/>
          <tx>
            <strRef>
              <f>结果对比!$D$57</f>
              <strCache>
                <ptCount val="1"/>
                <pt idx="0">
                  <v>A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结果对比!$D$58:$D$76</f>
              <numCache>
                <formatCode>General</formatCode>
                <ptCount val="19"/>
                <pt idx="0">
                  <v>0.133586178567987</v>
                </pt>
                <pt idx="1">
                  <v>0.129666599161584</v>
                </pt>
                <pt idx="2">
                  <v>0.119775740231519</v>
                </pt>
                <pt idx="3">
                  <v>0.12658099419576</v>
                </pt>
                <pt idx="4">
                  <v>0.111015595330191</v>
                </pt>
                <pt idx="5">
                  <v>0.104986006948604</v>
                </pt>
                <pt idx="6">
                  <v>0.0961448858249187</v>
                </pt>
                <pt idx="7">
                  <v>0.0974167167020631</v>
                </pt>
                <pt idx="8">
                  <v>0.0878911756248066</v>
                </pt>
                <pt idx="9">
                  <v>0.0850706904431537</v>
                </pt>
                <pt idx="10">
                  <v>0.0787923861843388</v>
                </pt>
                <pt idx="11">
                  <v>0.0865759036183254</v>
                </pt>
                <pt idx="12">
                  <v>0.0858114664471137</v>
                </pt>
                <pt idx="13">
                  <v>0.0898343816477517</v>
                </pt>
                <pt idx="14">
                  <v>0.08784667625897059</v>
                </pt>
                <pt idx="15">
                  <v>0.100015712124532</v>
                </pt>
                <pt idx="16">
                  <v>0.120565536929489</v>
                </pt>
                <pt idx="17">
                  <v>0.112551701534839</v>
                </pt>
                <pt idx="18">
                  <v>0.13088670980852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5485176"/>
        <axId val="695489856"/>
      </lineChart>
      <catAx>
        <axId val="695485176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95489856"/>
        <crosses val="autoZero"/>
        <auto val="1"/>
        <lblAlgn val="ctr"/>
        <lblOffset val="100"/>
        <noMultiLvlLbl val="0"/>
      </catAx>
      <valAx>
        <axId val="69548985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9548517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SAP2000</a:t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结果对比!$E$57</f>
              <strCache>
                <ptCount val="1"/>
                <pt idx="0">
                  <v>X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结果对比!$E$58:$E$76</f>
              <numCache>
                <formatCode>General</formatCode>
                <ptCount val="19"/>
                <pt idx="0">
                  <v>0.06779</v>
                </pt>
                <pt idx="1">
                  <v>0.06512999999999999</v>
                </pt>
                <pt idx="2">
                  <v>0.06472</v>
                </pt>
                <pt idx="3">
                  <v>0.06541</v>
                </pt>
                <pt idx="4">
                  <v>0.0609</v>
                </pt>
                <pt idx="5">
                  <v>0.04724</v>
                </pt>
                <pt idx="6">
                  <v>0.04749</v>
                </pt>
                <pt idx="7">
                  <v>0.04527</v>
                </pt>
                <pt idx="8">
                  <v>0.04577000000000001</v>
                </pt>
                <pt idx="9">
                  <v>0.05042</v>
                </pt>
                <pt idx="10">
                  <v>0.0441</v>
                </pt>
                <pt idx="11">
                  <v>0.04442</v>
                </pt>
                <pt idx="12">
                  <v>0.04284</v>
                </pt>
                <pt idx="13">
                  <v>0.04888</v>
                </pt>
                <pt idx="14">
                  <v>0.05269</v>
                </pt>
                <pt idx="15">
                  <v>0.05987</v>
                </pt>
                <pt idx="16">
                  <v>0.06100999999999999</v>
                </pt>
                <pt idx="17">
                  <v>0.06583</v>
                </pt>
                <pt idx="18">
                  <v>0.07409</v>
                </pt>
              </numCache>
            </numRef>
          </val>
          <smooth val="0"/>
        </ser>
        <ser>
          <idx val="1"/>
          <order val="1"/>
          <tx>
            <strRef>
              <f>结果对比!$F$57</f>
              <strCache>
                <ptCount val="1"/>
                <pt idx="0">
                  <v>Y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结果对比!$F$58:$F$76</f>
              <numCache>
                <formatCode>General</formatCode>
                <ptCount val="19"/>
                <pt idx="0">
                  <v>0.0425</v>
                </pt>
                <pt idx="1">
                  <v>0.04542</v>
                </pt>
                <pt idx="2">
                  <v>0.04479</v>
                </pt>
                <pt idx="3">
                  <v>0.04604</v>
                </pt>
                <pt idx="4">
                  <v>0.04671</v>
                </pt>
                <pt idx="5">
                  <v>0.04033</v>
                </pt>
                <pt idx="6">
                  <v>0.03352</v>
                </pt>
                <pt idx="7">
                  <v>0.0296</v>
                </pt>
                <pt idx="8">
                  <v>0.02512</v>
                </pt>
                <pt idx="9">
                  <v>0.02417</v>
                </pt>
                <pt idx="10">
                  <v>0.02213</v>
                </pt>
                <pt idx="11">
                  <v>0.02075</v>
                </pt>
                <pt idx="12">
                  <v>0.02108</v>
                </pt>
                <pt idx="13">
                  <v>0.0215</v>
                </pt>
                <pt idx="14">
                  <v>0.02057</v>
                </pt>
                <pt idx="15">
                  <v>0.02135</v>
                </pt>
                <pt idx="16">
                  <v>0.02225</v>
                </pt>
                <pt idx="17">
                  <v>0.02441</v>
                </pt>
                <pt idx="18">
                  <v>0.02484</v>
                </pt>
              </numCache>
            </numRef>
          </val>
          <smooth val="0"/>
        </ser>
        <ser>
          <idx val="2"/>
          <order val="2"/>
          <tx>
            <strRef>
              <f>结果对比!$G$57</f>
              <strCache>
                <ptCount val="1"/>
                <pt idx="0">
                  <v>A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结果对比!$G$58:$G$76</f>
              <numCache>
                <formatCode>General</formatCode>
                <ptCount val="19"/>
                <pt idx="0">
                  <v>0.06803000000000001</v>
                </pt>
                <pt idx="1">
                  <v>0.06551999999999999</v>
                </pt>
                <pt idx="2">
                  <v>0.06491</v>
                </pt>
                <pt idx="3">
                  <v>0.06562</v>
                </pt>
                <pt idx="4">
                  <v>0.0614</v>
                </pt>
                <pt idx="5">
                  <v>0.04969</v>
                </pt>
                <pt idx="6">
                  <v>0.04765999999999999</v>
                </pt>
                <pt idx="7">
                  <v>0.04543999999999999</v>
                </pt>
                <pt idx="8">
                  <v>0.04584000000000001</v>
                </pt>
                <pt idx="9">
                  <v>0.0505</v>
                </pt>
                <pt idx="10">
                  <v>0.04415</v>
                </pt>
                <pt idx="11">
                  <v>0.04443</v>
                </pt>
                <pt idx="12">
                  <v>0.04287</v>
                </pt>
                <pt idx="13">
                  <v>0.04892000000000001</v>
                </pt>
                <pt idx="14">
                  <v>0.05275</v>
                </pt>
                <pt idx="15">
                  <v>0.05993</v>
                </pt>
                <pt idx="16">
                  <v>0.06107</v>
                </pt>
                <pt idx="17">
                  <v>0.06591</v>
                </pt>
                <pt idx="18">
                  <v>0.07418999999999999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39897952"/>
        <axId val="739891832"/>
      </lineChart>
      <catAx>
        <axId val="739897952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739891832"/>
        <crosses val="autoZero"/>
        <auto val="1"/>
        <lblAlgn val="ctr"/>
        <lblOffset val="100"/>
        <noMultiLvlLbl val="0"/>
      </catAx>
      <valAx>
        <axId val="73989183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73989795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143827</colOff>
      <row>14</row>
      <rowOff>100965</rowOff>
    </from>
    <to>
      <col>14</col>
      <colOff>448627</colOff>
      <row>29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105727</colOff>
      <row>25</row>
      <rowOff>62865</rowOff>
    </from>
    <to>
      <col>14</col>
      <colOff>410527</colOff>
      <row>40</row>
      <rowOff>91440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412432</colOff>
      <row>24</row>
      <rowOff>179070</rowOff>
    </from>
    <to>
      <col>13</col>
      <colOff>107632</colOff>
      <row>40</row>
      <rowOff>24765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240982</colOff>
      <row>3</row>
      <rowOff>152400</rowOff>
    </from>
    <to>
      <col>25</col>
      <colOff>545782</colOff>
      <row>19</row>
      <rowOff>7620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199072</colOff>
      <row>3</row>
      <rowOff>148590</rowOff>
    </from>
    <to>
      <col>17</col>
      <colOff>503872</colOff>
      <row>18</row>
      <rowOff>173355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10</col>
      <colOff>190500</colOff>
      <row>29</row>
      <rowOff>24765</rowOff>
    </from>
    <to>
      <col>17</col>
      <colOff>495300</colOff>
      <row>44</row>
      <rowOff>53340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18</col>
      <colOff>234315</colOff>
      <row>29</row>
      <rowOff>28575</rowOff>
    </from>
    <to>
      <col>25</col>
      <colOff>539115</colOff>
      <row>44</row>
      <rowOff>59055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10</col>
      <colOff>486727</colOff>
      <row>56</row>
      <rowOff>139065</rowOff>
    </from>
    <to>
      <col>18</col>
      <colOff>181927</colOff>
      <row>71</row>
      <rowOff>167640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19</col>
      <colOff>6667</colOff>
      <row>56</row>
      <rowOff>179070</rowOff>
    </from>
    <to>
      <col>26</col>
      <colOff>311467</colOff>
      <row>72</row>
      <rowOff>24765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23"/>
  <sheetViews>
    <sheetView workbookViewId="0">
      <selection activeCell="P20" sqref="P20"/>
    </sheetView>
  </sheetViews>
  <sheetFormatPr baseColWidth="8" defaultRowHeight="14.4"/>
  <sheetData>
    <row r="1">
      <c r="A1" s="8" t="inlineStr">
        <is>
          <t>folder</t>
        </is>
      </c>
      <c r="B1" s="8" t="inlineStr">
        <is>
          <t>angle</t>
        </is>
      </c>
      <c r="C1" s="8" t="inlineStr">
        <is>
          <t>P195_UX_extreme</t>
        </is>
      </c>
      <c r="D1" s="8" t="inlineStr">
        <is>
          <t>P195_UY_extreme</t>
        </is>
      </c>
      <c r="E1" s="8" t="inlineStr">
        <is>
          <t>P195_range_2D_extreme</t>
        </is>
      </c>
      <c r="F1" s="8" t="inlineStr">
        <is>
          <t>P54000062_UX_extreme</t>
        </is>
      </c>
      <c r="G1" s="8" t="inlineStr">
        <is>
          <t>P54000062_UY_extreme</t>
        </is>
      </c>
      <c r="H1" s="8" t="inlineStr">
        <is>
          <t>P54000062_range_2D_extreme</t>
        </is>
      </c>
      <c r="I1" s="8" t="inlineStr">
        <is>
          <t>P54000070_UX_extreme</t>
        </is>
      </c>
      <c r="J1" s="8" t="inlineStr">
        <is>
          <t>P54000070_UY_extreme</t>
        </is>
      </c>
      <c r="K1" s="8" t="inlineStr">
        <is>
          <t>P54000070_range_2D_extreme</t>
        </is>
      </c>
      <c r="L1" s="8" t="inlineStr">
        <is>
          <t>P54000071_UX_extreme</t>
        </is>
      </c>
      <c r="M1" s="8" t="inlineStr">
        <is>
          <t>P54000071_UY_extreme</t>
        </is>
      </c>
      <c r="N1" s="8" t="inlineStr">
        <is>
          <t>P54000071_range_2D_extreme</t>
        </is>
      </c>
      <c r="O1" s="8" t="inlineStr">
        <is>
          <t>P54000079_UX_extreme</t>
        </is>
      </c>
      <c r="P1" s="8" t="inlineStr">
        <is>
          <t>P54000079_UY_extreme</t>
        </is>
      </c>
      <c r="Q1" s="8" t="inlineStr">
        <is>
          <t>P54000079_range_2D_extreme</t>
        </is>
      </c>
    </row>
    <row r="2">
      <c r="A2" t="inlineStr">
        <is>
          <t>Model2_10yr_000</t>
        </is>
      </c>
      <c r="B2" t="n">
        <v>0</v>
      </c>
      <c r="C2" t="n">
        <v>0.13789</v>
      </c>
      <c r="D2" t="n">
        <v>0.09132999999999999</v>
      </c>
      <c r="E2" t="n">
        <v>0.13786</v>
      </c>
      <c r="F2" t="n">
        <v>0.1445</v>
      </c>
      <c r="G2" t="n">
        <v>0.09845999999999999</v>
      </c>
      <c r="H2" t="n">
        <v>0.1451</v>
      </c>
      <c r="I2" t="n">
        <v>0.1445</v>
      </c>
      <c r="J2" t="n">
        <v>0.08956</v>
      </c>
      <c r="K2" t="n">
        <v>0.14459</v>
      </c>
      <c r="L2" t="n">
        <v>0.13569</v>
      </c>
      <c r="M2" t="n">
        <v>0.09845999999999999</v>
      </c>
      <c r="N2" t="n">
        <v>0.13567</v>
      </c>
      <c r="O2" t="n">
        <v>0.13569</v>
      </c>
      <c r="P2" t="n">
        <v>0.08956</v>
      </c>
      <c r="Q2" t="n">
        <v>0.13583</v>
      </c>
    </row>
    <row r="3">
      <c r="A3" t="inlineStr">
        <is>
          <t>Model2_10yr_005</t>
        </is>
      </c>
      <c r="B3" t="n">
        <v>5</v>
      </c>
      <c r="C3" t="n">
        <v>0.06455</v>
      </c>
      <c r="D3" t="n">
        <v>0.1382</v>
      </c>
      <c r="E3" t="n">
        <v>0.13821</v>
      </c>
      <c r="F3" t="n">
        <v>0.06993000000000001</v>
      </c>
      <c r="G3" t="n">
        <v>0.14532</v>
      </c>
      <c r="H3" t="n">
        <v>0.14553</v>
      </c>
      <c r="I3" t="n">
        <v>0.06993000000000001</v>
      </c>
      <c r="J3" t="n">
        <v>0.13382</v>
      </c>
      <c r="K3" t="n">
        <v>0.13381</v>
      </c>
      <c r="L3" t="n">
        <v>0.06512999999999999</v>
      </c>
      <c r="M3" t="n">
        <v>0.14532</v>
      </c>
      <c r="N3" t="n">
        <v>0.14563</v>
      </c>
      <c r="O3" t="n">
        <v>0.06512999999999999</v>
      </c>
      <c r="P3" t="n">
        <v>0.13382</v>
      </c>
      <c r="Q3" t="n">
        <v>0.13409</v>
      </c>
    </row>
    <row r="4">
      <c r="A4" t="inlineStr">
        <is>
          <t>Model2_10yr_010</t>
        </is>
      </c>
      <c r="B4" t="n">
        <v>10</v>
      </c>
      <c r="C4" t="n">
        <v>0.05431</v>
      </c>
      <c r="D4" t="n">
        <v>0.12631</v>
      </c>
      <c r="E4" t="n">
        <v>0.1263</v>
      </c>
      <c r="F4" t="n">
        <v>0.05964</v>
      </c>
      <c r="G4" t="n">
        <v>0.13277</v>
      </c>
      <c r="H4" t="n">
        <v>0.13299</v>
      </c>
      <c r="I4" t="n">
        <v>0.05964</v>
      </c>
      <c r="J4" t="n">
        <v>0.12255</v>
      </c>
      <c r="K4" t="n">
        <v>0.12254</v>
      </c>
      <c r="L4" t="n">
        <v>0.05525</v>
      </c>
      <c r="M4" t="n">
        <v>0.13277</v>
      </c>
      <c r="N4" t="n">
        <v>0.13301</v>
      </c>
      <c r="O4" t="n">
        <v>0.05525</v>
      </c>
      <c r="P4" t="n">
        <v>0.12255</v>
      </c>
      <c r="Q4" t="n">
        <v>0.12271</v>
      </c>
    </row>
    <row r="5">
      <c r="A5" t="inlineStr">
        <is>
          <t>Model2_10yr_015</t>
        </is>
      </c>
      <c r="B5" t="n">
        <v>15</v>
      </c>
      <c r="C5" t="n">
        <v>0.05923</v>
      </c>
      <c r="D5" t="n">
        <v>0.11303</v>
      </c>
      <c r="E5" t="n">
        <v>0.11305</v>
      </c>
      <c r="F5" t="n">
        <v>0.06428</v>
      </c>
      <c r="G5" t="n">
        <v>0.11871</v>
      </c>
      <c r="H5" t="n">
        <v>0.11886</v>
      </c>
      <c r="I5" t="n">
        <v>0.06428</v>
      </c>
      <c r="J5" t="n">
        <v>0.11024</v>
      </c>
      <c r="K5" t="n">
        <v>0.11024</v>
      </c>
      <c r="L5" t="n">
        <v>0.06012</v>
      </c>
      <c r="M5" t="n">
        <v>0.11871</v>
      </c>
      <c r="N5" t="n">
        <v>0.11905</v>
      </c>
      <c r="O5" t="n">
        <v>0.06012</v>
      </c>
      <c r="P5" t="n">
        <v>0.11024</v>
      </c>
      <c r="Q5" t="n">
        <v>0.1105</v>
      </c>
    </row>
    <row r="6">
      <c r="A6" t="inlineStr">
        <is>
          <t>Model2_10yr_020</t>
        </is>
      </c>
      <c r="B6" t="n">
        <v>20</v>
      </c>
      <c r="C6" t="n">
        <v>0.04992</v>
      </c>
      <c r="D6" t="n">
        <v>0.09479000000000001</v>
      </c>
      <c r="E6" t="n">
        <v>0.09487999999999999</v>
      </c>
      <c r="F6" t="n">
        <v>0.05414</v>
      </c>
      <c r="G6" t="n">
        <v>0.09951</v>
      </c>
      <c r="H6" t="n">
        <v>0.09955</v>
      </c>
      <c r="I6" t="n">
        <v>0.05414</v>
      </c>
      <c r="J6" t="n">
        <v>0.09245</v>
      </c>
      <c r="K6" t="n">
        <v>0.0925</v>
      </c>
      <c r="L6" t="n">
        <v>0.05038</v>
      </c>
      <c r="M6" t="n">
        <v>0.09951</v>
      </c>
      <c r="N6" t="n">
        <v>0.09991999999999999</v>
      </c>
      <c r="O6" t="n">
        <v>0.05038</v>
      </c>
      <c r="P6" t="n">
        <v>0.09245</v>
      </c>
      <c r="Q6" t="n">
        <v>0.09279999999999999</v>
      </c>
    </row>
    <row r="7">
      <c r="A7" t="inlineStr">
        <is>
          <t>Model2_10yr_025</t>
        </is>
      </c>
      <c r="B7" t="n">
        <v>25</v>
      </c>
      <c r="C7" t="n">
        <v>0.05089</v>
      </c>
      <c r="D7" t="n">
        <v>0.07772</v>
      </c>
      <c r="E7" t="n">
        <v>0.07779000000000001</v>
      </c>
      <c r="F7" t="n">
        <v>0.05461</v>
      </c>
      <c r="G7" t="n">
        <v>0.08181999999999999</v>
      </c>
      <c r="H7" t="n">
        <v>0.08194</v>
      </c>
      <c r="I7" t="n">
        <v>0.05461</v>
      </c>
      <c r="J7" t="n">
        <v>0.07587000000000001</v>
      </c>
      <c r="K7" t="n">
        <v>0.07595</v>
      </c>
      <c r="L7" t="n">
        <v>0.05129</v>
      </c>
      <c r="M7" t="n">
        <v>0.08181999999999999</v>
      </c>
      <c r="N7" t="n">
        <v>0.08219</v>
      </c>
      <c r="O7" t="n">
        <v>0.05129</v>
      </c>
      <c r="P7" t="n">
        <v>0.07587000000000001</v>
      </c>
      <c r="Q7" t="n">
        <v>0.07623999999999999</v>
      </c>
    </row>
    <row r="8">
      <c r="A8" t="inlineStr">
        <is>
          <t>Model2_10yr_030</t>
        </is>
      </c>
      <c r="B8" t="n">
        <v>30</v>
      </c>
      <c r="C8" t="n">
        <v>0.05011</v>
      </c>
      <c r="D8" t="n">
        <v>0.07793000000000001</v>
      </c>
      <c r="E8" t="n">
        <v>0.07795999999999999</v>
      </c>
      <c r="F8" t="n">
        <v>0.05331</v>
      </c>
      <c r="G8" t="n">
        <v>0.08202</v>
      </c>
      <c r="H8" t="n">
        <v>0.08217000000000001</v>
      </c>
      <c r="I8" t="n">
        <v>0.05331</v>
      </c>
      <c r="J8" t="n">
        <v>0.0757</v>
      </c>
      <c r="K8" t="n">
        <v>0.07571</v>
      </c>
      <c r="L8" t="n">
        <v>0.05036</v>
      </c>
      <c r="M8" t="n">
        <v>0.08202</v>
      </c>
      <c r="N8" t="n">
        <v>0.08229</v>
      </c>
      <c r="O8" t="n">
        <v>0.05036</v>
      </c>
      <c r="P8" t="n">
        <v>0.0757</v>
      </c>
      <c r="Q8" t="n">
        <v>0.07598999999999999</v>
      </c>
    </row>
    <row r="9">
      <c r="A9" t="inlineStr">
        <is>
          <t>Model2_10yr_035</t>
        </is>
      </c>
      <c r="B9" t="n">
        <v>35</v>
      </c>
      <c r="C9" t="n">
        <v>0.0563</v>
      </c>
      <c r="D9" t="n">
        <v>0.06966</v>
      </c>
      <c r="E9" t="n">
        <v>0.07165000000000001</v>
      </c>
      <c r="F9" t="n">
        <v>0.05936</v>
      </c>
      <c r="G9" t="n">
        <v>0.07321</v>
      </c>
      <c r="H9" t="n">
        <v>0.07540000000000001</v>
      </c>
      <c r="I9" t="n">
        <v>0.05936</v>
      </c>
      <c r="J9" t="n">
        <v>0.06784999999999999</v>
      </c>
      <c r="K9" t="n">
        <v>0.07212</v>
      </c>
      <c r="L9" t="n">
        <v>0.05588</v>
      </c>
      <c r="M9" t="n">
        <v>0.07321</v>
      </c>
      <c r="N9" t="n">
        <v>0.07381</v>
      </c>
      <c r="O9" t="n">
        <v>0.05588</v>
      </c>
      <c r="P9" t="n">
        <v>0.06784999999999999</v>
      </c>
      <c r="Q9" t="n">
        <v>0.07031999999999999</v>
      </c>
    </row>
    <row r="10">
      <c r="A10" t="inlineStr">
        <is>
          <t>Model2_10yr_040</t>
        </is>
      </c>
      <c r="B10" t="n">
        <v>40</v>
      </c>
      <c r="C10" t="n">
        <v>0.05612</v>
      </c>
      <c r="D10" t="n">
        <v>0.06204999999999999</v>
      </c>
      <c r="E10" t="n">
        <v>0.06691</v>
      </c>
      <c r="F10" t="n">
        <v>0.05919</v>
      </c>
      <c r="G10" t="n">
        <v>0.06570999999999999</v>
      </c>
      <c r="H10" t="n">
        <v>0.07073</v>
      </c>
      <c r="I10" t="n">
        <v>0.05919</v>
      </c>
      <c r="J10" t="n">
        <v>0.06001</v>
      </c>
      <c r="K10" t="n">
        <v>0.06742000000000001</v>
      </c>
      <c r="L10" t="n">
        <v>0.05525</v>
      </c>
      <c r="M10" t="n">
        <v>0.06570999999999999</v>
      </c>
      <c r="N10" t="n">
        <v>0.06866</v>
      </c>
      <c r="O10" t="n">
        <v>0.05525</v>
      </c>
      <c r="P10" t="n">
        <v>0.06001</v>
      </c>
      <c r="Q10" t="n">
        <v>0.06523999999999999</v>
      </c>
    </row>
    <row r="11">
      <c r="A11" t="inlineStr">
        <is>
          <t>Model2_10yr_045</t>
        </is>
      </c>
      <c r="B11" t="n">
        <v>45</v>
      </c>
      <c r="C11" t="n">
        <v>0.0541</v>
      </c>
      <c r="D11" t="n">
        <v>0.06194</v>
      </c>
      <c r="E11" t="n">
        <v>0.06579</v>
      </c>
      <c r="F11" t="n">
        <v>0.05694</v>
      </c>
      <c r="G11" t="n">
        <v>0.06537000000000001</v>
      </c>
      <c r="H11" t="n">
        <v>0.06934</v>
      </c>
      <c r="I11" t="n">
        <v>0.05694</v>
      </c>
      <c r="J11" t="n">
        <v>0.05989</v>
      </c>
      <c r="K11" t="n">
        <v>0.06609999999999999</v>
      </c>
      <c r="L11" t="n">
        <v>0.05318</v>
      </c>
      <c r="M11" t="n">
        <v>0.06537000000000001</v>
      </c>
      <c r="N11" t="n">
        <v>0.06741</v>
      </c>
      <c r="O11" t="n">
        <v>0.05318</v>
      </c>
      <c r="P11" t="n">
        <v>0.05989</v>
      </c>
      <c r="Q11" t="n">
        <v>0.06406999999999999</v>
      </c>
    </row>
    <row r="13">
      <c r="A13" s="8" t="inlineStr">
        <is>
          <t>P54000071_UX_extreme</t>
        </is>
      </c>
      <c r="B13" s="8" t="inlineStr">
        <is>
          <t>P54000071_UY_extreme</t>
        </is>
      </c>
      <c r="C13" s="8" t="inlineStr">
        <is>
          <t>P54000071_range_2D_extreme</t>
        </is>
      </c>
    </row>
    <row r="14">
      <c r="A14" t="n">
        <v>0.13569</v>
      </c>
      <c r="B14" t="n">
        <v>0.09845999999999999</v>
      </c>
      <c r="C14" t="n">
        <v>0.13567</v>
      </c>
    </row>
    <row r="15">
      <c r="A15" t="n">
        <v>0.06512999999999999</v>
      </c>
      <c r="B15" t="n">
        <v>0.14532</v>
      </c>
      <c r="C15" t="n">
        <v>0.14563</v>
      </c>
    </row>
    <row r="16">
      <c r="A16" t="n">
        <v>0.05525</v>
      </c>
      <c r="B16" t="n">
        <v>0.13277</v>
      </c>
      <c r="C16" t="n">
        <v>0.13301</v>
      </c>
    </row>
    <row r="17">
      <c r="A17" t="n">
        <v>0.06012</v>
      </c>
      <c r="B17" t="n">
        <v>0.11871</v>
      </c>
      <c r="C17" t="n">
        <v>0.11905</v>
      </c>
    </row>
    <row r="18">
      <c r="A18" t="n">
        <v>0.05038</v>
      </c>
      <c r="B18" t="n">
        <v>0.09951</v>
      </c>
      <c r="C18" t="n">
        <v>0.09991999999999999</v>
      </c>
    </row>
    <row r="19">
      <c r="A19" t="n">
        <v>0.05129</v>
      </c>
      <c r="B19" t="n">
        <v>0.08181999999999999</v>
      </c>
      <c r="C19" t="n">
        <v>0.08219</v>
      </c>
    </row>
    <row r="20">
      <c r="A20" t="n">
        <v>0.05036</v>
      </c>
      <c r="B20" t="n">
        <v>0.08202</v>
      </c>
      <c r="C20" t="n">
        <v>0.08229</v>
      </c>
    </row>
    <row r="21">
      <c r="A21" t="n">
        <v>0.05588</v>
      </c>
      <c r="B21" t="n">
        <v>0.07321</v>
      </c>
      <c r="C21" t="n">
        <v>0.07381</v>
      </c>
    </row>
    <row r="22">
      <c r="A22" t="n">
        <v>0.05525</v>
      </c>
      <c r="B22" t="n">
        <v>0.06570999999999999</v>
      </c>
      <c r="C22" t="n">
        <v>0.06866</v>
      </c>
    </row>
    <row r="23">
      <c r="A23" t="n">
        <v>0.05318</v>
      </c>
      <c r="B23" t="n">
        <v>0.06537000000000001</v>
      </c>
      <c r="C23" t="n">
        <v>0.06741</v>
      </c>
    </row>
  </sheetData>
  <pageMargins left="0.75" right="0.75" top="1" bottom="1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41"/>
  <sheetViews>
    <sheetView topLeftCell="A2" workbookViewId="0">
      <selection activeCell="C2" sqref="C2:D20"/>
    </sheetView>
  </sheetViews>
  <sheetFormatPr baseColWidth="8" defaultRowHeight="14.4"/>
  <sheetData>
    <row r="1">
      <c r="A1" s="1" t="inlineStr">
        <is>
          <t>folder</t>
        </is>
      </c>
      <c r="B1" s="1" t="inlineStr">
        <is>
          <t>angle</t>
        </is>
      </c>
      <c r="C1" s="1" t="inlineStr">
        <is>
          <t>P285_UX_extreme</t>
        </is>
      </c>
      <c r="D1" s="1" t="inlineStr">
        <is>
          <t>P285_UY_extreme</t>
        </is>
      </c>
      <c r="E1" s="1" t="inlineStr">
        <is>
          <t>P285_range_2D_extreme</t>
        </is>
      </c>
      <c r="F1" s="1" t="inlineStr">
        <is>
          <t>P54000047_UX_extreme</t>
        </is>
      </c>
      <c r="G1" s="1" t="inlineStr">
        <is>
          <t>P54000047_UY_extreme</t>
        </is>
      </c>
      <c r="H1" s="1" t="inlineStr">
        <is>
          <t>P54000047_range_2D_extreme</t>
        </is>
      </c>
      <c r="I1" s="1" t="inlineStr">
        <is>
          <t>P54000050_UX_extreme</t>
        </is>
      </c>
      <c r="J1" s="1" t="inlineStr">
        <is>
          <t>P54000050_UY_extreme</t>
        </is>
      </c>
      <c r="K1" s="1" t="inlineStr">
        <is>
          <t>P54000050_range_2D_extreme</t>
        </is>
      </c>
      <c r="L1" s="1" t="inlineStr">
        <is>
          <t>P54000059_UX_extreme</t>
        </is>
      </c>
      <c r="M1" s="1" t="inlineStr">
        <is>
          <t>P54000059_UY_extreme</t>
        </is>
      </c>
      <c r="N1" s="1" t="inlineStr">
        <is>
          <t>P54000059_range_2D_extreme</t>
        </is>
      </c>
      <c r="O1" s="1" t="inlineStr">
        <is>
          <t>P54000058_UX_extreme</t>
        </is>
      </c>
      <c r="P1" s="1" t="inlineStr">
        <is>
          <t>P54000058_UY_extreme</t>
        </is>
      </c>
      <c r="Q1" s="1" t="inlineStr">
        <is>
          <t>P54000058_range_2D_extreme</t>
        </is>
      </c>
    </row>
    <row r="2">
      <c r="A2" t="inlineStr">
        <is>
          <t>Model3_10yr_000</t>
        </is>
      </c>
      <c r="B2" t="n">
        <v>0</v>
      </c>
      <c r="C2" t="n">
        <v>0.0804</v>
      </c>
      <c r="D2" t="n">
        <v>0.05933</v>
      </c>
      <c r="E2" t="n">
        <v>0.08037999999999999</v>
      </c>
      <c r="F2" t="n">
        <v>0.07439</v>
      </c>
      <c r="G2" t="n">
        <v>0.05649</v>
      </c>
      <c r="H2" t="n">
        <v>0.07686</v>
      </c>
      <c r="I2" t="n">
        <v>0.08714</v>
      </c>
      <c r="J2" t="n">
        <v>0.05649</v>
      </c>
      <c r="K2" t="n">
        <v>0.08851000000000001</v>
      </c>
      <c r="L2" t="n">
        <v>0.08714</v>
      </c>
      <c r="M2" t="n">
        <v>0.06988</v>
      </c>
      <c r="N2" t="n">
        <v>0.09107</v>
      </c>
      <c r="O2" t="n">
        <v>0.07439</v>
      </c>
      <c r="P2" t="n">
        <v>0.06988</v>
      </c>
      <c r="Q2" t="n">
        <v>0.08165</v>
      </c>
    </row>
    <row r="3">
      <c r="A3" t="inlineStr">
        <is>
          <t>Model3_10yr_005</t>
        </is>
      </c>
      <c r="B3" t="n">
        <v>5</v>
      </c>
      <c r="C3" t="n">
        <v>0.06806999999999999</v>
      </c>
      <c r="D3" t="n">
        <v>0.0604</v>
      </c>
      <c r="E3" t="n">
        <v>0.0728</v>
      </c>
      <c r="F3" t="n">
        <v>0.06318</v>
      </c>
      <c r="G3" t="n">
        <v>0.05726</v>
      </c>
      <c r="H3" t="n">
        <v>0.06820999999999999</v>
      </c>
      <c r="I3" t="n">
        <v>0.07382</v>
      </c>
      <c r="J3" t="n">
        <v>0.05726</v>
      </c>
      <c r="K3" t="n">
        <v>0.07607999999999999</v>
      </c>
      <c r="L3" t="n">
        <v>0.07382</v>
      </c>
      <c r="M3" t="n">
        <v>0.06988999999999999</v>
      </c>
      <c r="N3" t="n">
        <v>0.08131999999999999</v>
      </c>
      <c r="O3" t="n">
        <v>0.06318</v>
      </c>
      <c r="P3" t="n">
        <v>0.06988999999999999</v>
      </c>
      <c r="Q3" t="n">
        <v>0.07537000000000001</v>
      </c>
    </row>
    <row r="4">
      <c r="A4" t="inlineStr">
        <is>
          <t>Model3_10yr_010</t>
        </is>
      </c>
      <c r="B4" t="n">
        <v>10</v>
      </c>
      <c r="C4" t="n">
        <v>0.08329</v>
      </c>
      <c r="D4" t="n">
        <v>0.06084000000000001</v>
      </c>
      <c r="E4" t="n">
        <v>0.08329</v>
      </c>
      <c r="F4" t="n">
        <v>0.07714</v>
      </c>
      <c r="G4" t="n">
        <v>0.05746</v>
      </c>
      <c r="H4" t="n">
        <v>0.08006999999999999</v>
      </c>
      <c r="I4" t="n">
        <v>0.09003</v>
      </c>
      <c r="J4" t="n">
        <v>0.05746</v>
      </c>
      <c r="K4" t="n">
        <v>0.09157</v>
      </c>
      <c r="L4" t="n">
        <v>0.09003</v>
      </c>
      <c r="M4" t="n">
        <v>0.07117</v>
      </c>
      <c r="N4" t="n">
        <v>0.09331</v>
      </c>
      <c r="O4" t="n">
        <v>0.07714</v>
      </c>
      <c r="P4" t="n">
        <v>0.07117</v>
      </c>
      <c r="Q4" t="n">
        <v>0.08395</v>
      </c>
    </row>
    <row r="5">
      <c r="A5" t="inlineStr">
        <is>
          <t>Model3_10yr_015</t>
        </is>
      </c>
      <c r="B5" t="n">
        <v>15</v>
      </c>
      <c r="C5" t="n">
        <v>0.06772</v>
      </c>
      <c r="D5" t="n">
        <v>0.05827</v>
      </c>
      <c r="E5" t="n">
        <v>0.07147000000000001</v>
      </c>
      <c r="F5" t="n">
        <v>0.06274</v>
      </c>
      <c r="G5" t="n">
        <v>0.05482</v>
      </c>
      <c r="H5" t="n">
        <v>0.06664</v>
      </c>
      <c r="I5" t="n">
        <v>0.07332</v>
      </c>
      <c r="J5" t="n">
        <v>0.05482</v>
      </c>
      <c r="K5" t="n">
        <v>0.07473</v>
      </c>
      <c r="L5" t="n">
        <v>0.07332</v>
      </c>
      <c r="M5" t="n">
        <v>0.06708</v>
      </c>
      <c r="N5" t="n">
        <v>0.07948999999999999</v>
      </c>
      <c r="O5" t="n">
        <v>0.06274</v>
      </c>
      <c r="P5" t="n">
        <v>0.06708</v>
      </c>
      <c r="Q5" t="n">
        <v>0.07346999999999999</v>
      </c>
    </row>
    <row r="6">
      <c r="A6" t="inlineStr">
        <is>
          <t>Model3_10yr_020</t>
        </is>
      </c>
      <c r="B6" t="n">
        <v>20</v>
      </c>
      <c r="C6" t="n">
        <v>0.07282</v>
      </c>
      <c r="D6" t="n">
        <v>0.05471</v>
      </c>
      <c r="E6" t="n">
        <v>0.07295</v>
      </c>
      <c r="F6" t="n">
        <v>0.06737</v>
      </c>
      <c r="G6" t="n">
        <v>0.05319</v>
      </c>
      <c r="H6" t="n">
        <v>0.07097000000000001</v>
      </c>
      <c r="I6" t="n">
        <v>0.07887000000000001</v>
      </c>
      <c r="J6" t="n">
        <v>0.05319</v>
      </c>
      <c r="K6" t="n">
        <v>0.08101</v>
      </c>
      <c r="L6" t="n">
        <v>0.07887000000000001</v>
      </c>
      <c r="M6" t="n">
        <v>0.06287</v>
      </c>
      <c r="N6" t="n">
        <v>0.08122</v>
      </c>
      <c r="O6" t="n">
        <v>0.06737</v>
      </c>
      <c r="P6" t="n">
        <v>0.06287</v>
      </c>
      <c r="Q6" t="n">
        <v>0.07371</v>
      </c>
    </row>
    <row r="7">
      <c r="A7" t="inlineStr">
        <is>
          <t>Model3_10yr_025</t>
        </is>
      </c>
      <c r="B7" t="n">
        <v>25</v>
      </c>
      <c r="C7" t="n">
        <v>0.05991</v>
      </c>
      <c r="D7" t="n">
        <v>0.04971</v>
      </c>
      <c r="E7" t="n">
        <v>0.06227000000000001</v>
      </c>
      <c r="F7" t="n">
        <v>0.05564</v>
      </c>
      <c r="G7" t="n">
        <v>0.04763000000000001</v>
      </c>
      <c r="H7" t="n">
        <v>0.05859</v>
      </c>
      <c r="I7" t="n">
        <v>0.0649</v>
      </c>
      <c r="J7" t="n">
        <v>0.04763000000000001</v>
      </c>
      <c r="K7" t="n">
        <v>0.06609999999999999</v>
      </c>
      <c r="L7" t="n">
        <v>0.0649</v>
      </c>
      <c r="M7" t="n">
        <v>0.05754</v>
      </c>
      <c r="N7" t="n">
        <v>0.06938</v>
      </c>
      <c r="O7" t="n">
        <v>0.05564</v>
      </c>
      <c r="P7" t="n">
        <v>0.05754</v>
      </c>
      <c r="Q7" t="n">
        <v>0.06403</v>
      </c>
    </row>
    <row r="8">
      <c r="A8" t="inlineStr">
        <is>
          <t>Model3_10yr_030</t>
        </is>
      </c>
      <c r="B8" t="n">
        <v>30</v>
      </c>
      <c r="C8" t="n">
        <v>0.05742</v>
      </c>
      <c r="D8" t="n">
        <v>0.04465</v>
      </c>
      <c r="E8" t="n">
        <v>0.05819</v>
      </c>
      <c r="F8" t="n">
        <v>0.05314</v>
      </c>
      <c r="G8" t="n">
        <v>0.04254</v>
      </c>
      <c r="H8" t="n">
        <v>0.05497</v>
      </c>
      <c r="I8" t="n">
        <v>0.06227000000000001</v>
      </c>
      <c r="J8" t="n">
        <v>0.04254</v>
      </c>
      <c r="K8" t="n">
        <v>0.06321</v>
      </c>
      <c r="L8" t="n">
        <v>0.06227000000000001</v>
      </c>
      <c r="M8" t="n">
        <v>0.05214</v>
      </c>
      <c r="N8" t="n">
        <v>0.06577</v>
      </c>
      <c r="O8" t="n">
        <v>0.05314</v>
      </c>
      <c r="P8" t="n">
        <v>0.05214</v>
      </c>
      <c r="Q8" t="n">
        <v>0.05955</v>
      </c>
    </row>
    <row r="9">
      <c r="A9" t="inlineStr">
        <is>
          <t>Model3_10yr_035</t>
        </is>
      </c>
      <c r="B9" t="n">
        <v>35</v>
      </c>
      <c r="C9" t="n">
        <v>0.05216</v>
      </c>
      <c r="D9" t="n">
        <v>0.03394</v>
      </c>
      <c r="E9" t="n">
        <v>0.05217</v>
      </c>
      <c r="F9" t="n">
        <v>0.04826</v>
      </c>
      <c r="G9" t="n">
        <v>0.03413</v>
      </c>
      <c r="H9" t="n">
        <v>0.04976</v>
      </c>
      <c r="I9" t="n">
        <v>0.05651</v>
      </c>
      <c r="J9" t="n">
        <v>0.03413</v>
      </c>
      <c r="K9" t="n">
        <v>0.05767</v>
      </c>
      <c r="L9" t="n">
        <v>0.05651</v>
      </c>
      <c r="M9" t="n">
        <v>0.03940999999999999</v>
      </c>
      <c r="N9" t="n">
        <v>0.05808</v>
      </c>
      <c r="O9" t="n">
        <v>0.04826</v>
      </c>
      <c r="P9" t="n">
        <v>0.03940999999999999</v>
      </c>
      <c r="Q9" t="n">
        <v>0.04984</v>
      </c>
    </row>
    <row r="10">
      <c r="A10" t="inlineStr">
        <is>
          <t>Model3_10yr_040</t>
        </is>
      </c>
      <c r="B10" t="n">
        <v>40</v>
      </c>
      <c r="C10" t="n">
        <v>0.04846</v>
      </c>
      <c r="D10" t="n">
        <v>0.03325</v>
      </c>
      <c r="E10" t="n">
        <v>0.04848</v>
      </c>
      <c r="F10" t="n">
        <v>0.0448</v>
      </c>
      <c r="G10" t="n">
        <v>0.03268</v>
      </c>
      <c r="H10" t="n">
        <v>0.04654999999999999</v>
      </c>
      <c r="I10" t="n">
        <v>0.05247</v>
      </c>
      <c r="J10" t="n">
        <v>0.03268</v>
      </c>
      <c r="K10" t="n">
        <v>0.05363</v>
      </c>
      <c r="L10" t="n">
        <v>0.05247</v>
      </c>
      <c r="M10" t="n">
        <v>0.03849</v>
      </c>
      <c r="N10" t="n">
        <v>0.0539</v>
      </c>
      <c r="O10" t="n">
        <v>0.0448</v>
      </c>
      <c r="P10" t="n">
        <v>0.03849</v>
      </c>
      <c r="Q10" t="n">
        <v>0.04725</v>
      </c>
    </row>
    <row r="11">
      <c r="A11" t="inlineStr">
        <is>
          <t>Model3_10yr_045</t>
        </is>
      </c>
      <c r="B11" t="n">
        <v>45</v>
      </c>
      <c r="C11" t="n">
        <v>0.04989</v>
      </c>
      <c r="D11" t="n">
        <v>0.03177</v>
      </c>
      <c r="E11" t="n">
        <v>0.04994</v>
      </c>
      <c r="F11" t="n">
        <v>0.04615</v>
      </c>
      <c r="G11" t="n">
        <v>0.03204</v>
      </c>
      <c r="H11" t="n">
        <v>0.04788000000000001</v>
      </c>
      <c r="I11" t="n">
        <v>0.054</v>
      </c>
      <c r="J11" t="n">
        <v>0.03204</v>
      </c>
      <c r="K11" t="n">
        <v>0.05533</v>
      </c>
      <c r="L11" t="n">
        <v>0.054</v>
      </c>
      <c r="M11" t="n">
        <v>0.03678</v>
      </c>
      <c r="N11" t="n">
        <v>0.0551</v>
      </c>
      <c r="O11" t="n">
        <v>0.04615</v>
      </c>
      <c r="P11" t="n">
        <v>0.03678</v>
      </c>
      <c r="Q11" t="n">
        <v>0.04721</v>
      </c>
    </row>
    <row r="12">
      <c r="A12" t="inlineStr">
        <is>
          <t>Model3_10yr_050</t>
        </is>
      </c>
      <c r="B12" t="n">
        <v>50</v>
      </c>
      <c r="C12" t="n">
        <v>0.05655</v>
      </c>
      <c r="D12" t="n">
        <v>0.02769</v>
      </c>
      <c r="E12" t="n">
        <v>0.05668</v>
      </c>
      <c r="F12" t="n">
        <v>0.05221</v>
      </c>
      <c r="G12" t="n">
        <v>0.02984</v>
      </c>
      <c r="H12" t="n">
        <v>0.0541</v>
      </c>
      <c r="I12" t="n">
        <v>0.0611</v>
      </c>
      <c r="J12" t="n">
        <v>0.02984</v>
      </c>
      <c r="K12" t="n">
        <v>0.06272999999999999</v>
      </c>
      <c r="L12" t="n">
        <v>0.0611</v>
      </c>
      <c r="M12" t="n">
        <v>0.03172</v>
      </c>
      <c r="N12" t="n">
        <v>0.06164</v>
      </c>
      <c r="O12" t="n">
        <v>0.05221</v>
      </c>
      <c r="P12" t="n">
        <v>0.03172</v>
      </c>
      <c r="Q12" t="n">
        <v>0.05249</v>
      </c>
    </row>
    <row r="13">
      <c r="A13" t="inlineStr">
        <is>
          <t>Model3_10yr_055</t>
        </is>
      </c>
      <c r="B13" t="n">
        <v>55</v>
      </c>
      <c r="C13" t="n">
        <v>0.05917</v>
      </c>
      <c r="D13" t="n">
        <v>0.02699</v>
      </c>
      <c r="E13" t="n">
        <v>0.0592</v>
      </c>
      <c r="F13" t="n">
        <v>0.05447</v>
      </c>
      <c r="G13" t="n">
        <v>0.02869</v>
      </c>
      <c r="H13" t="n">
        <v>0.056</v>
      </c>
      <c r="I13" t="n">
        <v>0.06404</v>
      </c>
      <c r="J13" t="n">
        <v>0.02869</v>
      </c>
      <c r="K13" t="n">
        <v>0.06534000000000001</v>
      </c>
      <c r="L13" t="n">
        <v>0.06404</v>
      </c>
      <c r="M13" t="n">
        <v>0.03195</v>
      </c>
      <c r="N13" t="n">
        <v>0.0649</v>
      </c>
      <c r="O13" t="n">
        <v>0.05447</v>
      </c>
      <c r="P13" t="n">
        <v>0.03195</v>
      </c>
      <c r="Q13" t="n">
        <v>0.05504999999999999</v>
      </c>
    </row>
    <row r="14">
      <c r="A14" t="inlineStr">
        <is>
          <t>Model3_10yr_060</t>
        </is>
      </c>
      <c r="B14" t="n">
        <v>60</v>
      </c>
      <c r="C14" t="n">
        <v>0.06522</v>
      </c>
      <c r="D14" t="n">
        <v>0.02832</v>
      </c>
      <c r="E14" t="n">
        <v>0.06523999999999999</v>
      </c>
      <c r="F14" t="n">
        <v>0.05998</v>
      </c>
      <c r="G14" t="n">
        <v>0.02988</v>
      </c>
      <c r="H14" t="n">
        <v>0.06157</v>
      </c>
      <c r="I14" t="n">
        <v>0.07055</v>
      </c>
      <c r="J14" t="n">
        <v>0.02988</v>
      </c>
      <c r="K14" t="n">
        <v>0.07185999999999999</v>
      </c>
      <c r="L14" t="n">
        <v>0.07055</v>
      </c>
      <c r="M14" t="n">
        <v>0.03362</v>
      </c>
      <c r="N14" t="n">
        <v>0.07151</v>
      </c>
      <c r="O14" t="n">
        <v>0.05998</v>
      </c>
      <c r="P14" t="n">
        <v>0.03362</v>
      </c>
      <c r="Q14" t="n">
        <v>0.0607</v>
      </c>
    </row>
    <row r="15">
      <c r="A15" t="inlineStr">
        <is>
          <t>Model3_10yr_065</t>
        </is>
      </c>
      <c r="B15" t="n">
        <v>65</v>
      </c>
      <c r="C15" t="n">
        <v>0.06489</v>
      </c>
      <c r="D15" t="n">
        <v>0.02658</v>
      </c>
      <c r="E15" t="n">
        <v>0.06494</v>
      </c>
      <c r="F15" t="n">
        <v>0.05977</v>
      </c>
      <c r="G15" t="n">
        <v>0.02985</v>
      </c>
      <c r="H15" t="n">
        <v>0.06143999999999999</v>
      </c>
      <c r="I15" t="n">
        <v>0.07015</v>
      </c>
      <c r="J15" t="n">
        <v>0.02985</v>
      </c>
      <c r="K15" t="n">
        <v>0.07167</v>
      </c>
      <c r="L15" t="n">
        <v>0.07015</v>
      </c>
      <c r="M15" t="n">
        <v>0.03094</v>
      </c>
      <c r="N15" t="n">
        <v>0.07087</v>
      </c>
      <c r="O15" t="n">
        <v>0.05977</v>
      </c>
      <c r="P15" t="n">
        <v>0.03094</v>
      </c>
      <c r="Q15" t="n">
        <v>0.06029</v>
      </c>
    </row>
    <row r="16">
      <c r="A16" t="inlineStr">
        <is>
          <t>Model3_10yr_070</t>
        </is>
      </c>
      <c r="B16" t="n">
        <v>70</v>
      </c>
      <c r="C16" t="n">
        <v>0.06086</v>
      </c>
      <c r="D16" t="n">
        <v>0.02705</v>
      </c>
      <c r="E16" t="n">
        <v>0.06089</v>
      </c>
      <c r="F16" t="n">
        <v>0.05608</v>
      </c>
      <c r="G16" t="n">
        <v>0.02889</v>
      </c>
      <c r="H16" t="n">
        <v>0.05753</v>
      </c>
      <c r="I16" t="n">
        <v>0.0658</v>
      </c>
      <c r="J16" t="n">
        <v>0.02889</v>
      </c>
      <c r="K16" t="n">
        <v>0.06705</v>
      </c>
      <c r="L16" t="n">
        <v>0.0658</v>
      </c>
      <c r="M16" t="n">
        <v>0.032</v>
      </c>
      <c r="N16" t="n">
        <v>0.06667000000000001</v>
      </c>
      <c r="O16" t="n">
        <v>0.05608</v>
      </c>
      <c r="P16" t="n">
        <v>0.032</v>
      </c>
      <c r="Q16" t="n">
        <v>0.05668</v>
      </c>
    </row>
    <row r="17">
      <c r="A17" t="inlineStr">
        <is>
          <t>Model3_10yr_075</t>
        </is>
      </c>
      <c r="B17" t="n">
        <v>75</v>
      </c>
      <c r="C17" t="n">
        <v>0.0751</v>
      </c>
      <c r="D17" t="n">
        <v>0.02924</v>
      </c>
      <c r="E17" t="n">
        <v>0.07515000000000001</v>
      </c>
      <c r="F17" t="n">
        <v>0.06916</v>
      </c>
      <c r="G17" t="n">
        <v>0.0324</v>
      </c>
      <c r="H17" t="n">
        <v>0.07099999999999999</v>
      </c>
      <c r="I17" t="n">
        <v>0.08114</v>
      </c>
      <c r="J17" t="n">
        <v>0.0324</v>
      </c>
      <c r="K17" t="n">
        <v>0.08275</v>
      </c>
      <c r="L17" t="n">
        <v>0.08114</v>
      </c>
      <c r="M17" t="n">
        <v>0.03466</v>
      </c>
      <c r="N17" t="n">
        <v>0.08201</v>
      </c>
      <c r="O17" t="n">
        <v>0.06916</v>
      </c>
      <c r="P17" t="n">
        <v>0.03466</v>
      </c>
      <c r="Q17" t="n">
        <v>0.06981999999999999</v>
      </c>
    </row>
    <row r="18">
      <c r="A18" t="inlineStr">
        <is>
          <t>Model3_10yr_080</t>
        </is>
      </c>
      <c r="B18" t="n">
        <v>80</v>
      </c>
      <c r="C18" t="n">
        <v>0.07943</v>
      </c>
      <c r="D18" t="n">
        <v>0.03366</v>
      </c>
      <c r="E18" t="n">
        <v>0.07948999999999999</v>
      </c>
      <c r="F18" t="n">
        <v>0.07325</v>
      </c>
      <c r="G18" t="n">
        <v>0.03615</v>
      </c>
      <c r="H18" t="n">
        <v>0.07528</v>
      </c>
      <c r="I18" t="n">
        <v>0.08572</v>
      </c>
      <c r="J18" t="n">
        <v>0.03615</v>
      </c>
      <c r="K18" t="n">
        <v>0.08742</v>
      </c>
      <c r="L18" t="n">
        <v>0.08572</v>
      </c>
      <c r="M18" t="n">
        <v>0.0394</v>
      </c>
      <c r="N18" t="n">
        <v>0.08660999999999999</v>
      </c>
      <c r="O18" t="n">
        <v>0.07325</v>
      </c>
      <c r="P18" t="n">
        <v>0.0394</v>
      </c>
      <c r="Q18" t="n">
        <v>0.07388</v>
      </c>
    </row>
    <row r="19">
      <c r="A19" t="inlineStr">
        <is>
          <t>Model3_10yr_085</t>
        </is>
      </c>
      <c r="B19" t="n">
        <v>85</v>
      </c>
      <c r="C19" t="n">
        <v>0.08101</v>
      </c>
      <c r="D19" t="n">
        <v>0.03668</v>
      </c>
      <c r="E19" t="n">
        <v>0.08108</v>
      </c>
      <c r="F19" t="n">
        <v>0.07476000000000001</v>
      </c>
      <c r="G19" t="n">
        <v>0.03929</v>
      </c>
      <c r="H19" t="n">
        <v>0.07681</v>
      </c>
      <c r="I19" t="n">
        <v>0.08746</v>
      </c>
      <c r="J19" t="n">
        <v>0.03929</v>
      </c>
      <c r="K19" t="n">
        <v>0.08923</v>
      </c>
      <c r="L19" t="n">
        <v>0.08746</v>
      </c>
      <c r="M19" t="n">
        <v>0.04261</v>
      </c>
      <c r="N19" t="n">
        <v>0.08843999999999999</v>
      </c>
      <c r="O19" t="n">
        <v>0.07476000000000001</v>
      </c>
      <c r="P19" t="n">
        <v>0.04261</v>
      </c>
      <c r="Q19" t="n">
        <v>0.07540999999999999</v>
      </c>
    </row>
    <row r="20">
      <c r="A20" t="inlineStr">
        <is>
          <t>Model3_10yr_090</t>
        </is>
      </c>
      <c r="B20" t="n">
        <v>90</v>
      </c>
      <c r="C20" t="n">
        <v>0.08461</v>
      </c>
      <c r="D20" t="n">
        <v>0.03758</v>
      </c>
      <c r="E20" t="n">
        <v>0.08462</v>
      </c>
      <c r="F20" t="n">
        <v>0.07820000000000001</v>
      </c>
      <c r="G20" t="n">
        <v>0.03981000000000001</v>
      </c>
      <c r="H20" t="n">
        <v>0.07993</v>
      </c>
      <c r="I20" t="n">
        <v>0.09126999999999999</v>
      </c>
      <c r="J20" t="n">
        <v>0.03981000000000001</v>
      </c>
      <c r="K20" t="n">
        <v>0.09279000000000001</v>
      </c>
      <c r="L20" t="n">
        <v>0.09126999999999999</v>
      </c>
      <c r="M20" t="n">
        <v>0.04465</v>
      </c>
      <c r="N20" t="n">
        <v>0.0925</v>
      </c>
      <c r="O20" t="n">
        <v>0.07820000000000001</v>
      </c>
      <c r="P20" t="n">
        <v>0.04465</v>
      </c>
      <c r="Q20" t="n">
        <v>0.07901000000000001</v>
      </c>
    </row>
    <row r="22">
      <c r="A22" s="1" t="inlineStr">
        <is>
          <t>P54000059_UX_extreme</t>
        </is>
      </c>
      <c r="B22" s="1" t="inlineStr">
        <is>
          <t>P54000059_UY_extreme</t>
        </is>
      </c>
      <c r="C22" s="1" t="inlineStr">
        <is>
          <t>P54000059_range_2D_extreme</t>
        </is>
      </c>
    </row>
    <row r="23">
      <c r="A23" t="n">
        <v>0.08714</v>
      </c>
      <c r="B23" t="n">
        <v>0.06988</v>
      </c>
      <c r="C23" t="n">
        <v>0.09107</v>
      </c>
    </row>
    <row r="24">
      <c r="A24" t="n">
        <v>0.07382</v>
      </c>
      <c r="B24" t="n">
        <v>0.06988999999999999</v>
      </c>
      <c r="C24" t="n">
        <v>0.08131999999999999</v>
      </c>
    </row>
    <row r="25">
      <c r="A25" t="n">
        <v>0.09003</v>
      </c>
      <c r="B25" t="n">
        <v>0.07117</v>
      </c>
      <c r="C25" t="n">
        <v>0.09331</v>
      </c>
    </row>
    <row r="26">
      <c r="A26" t="n">
        <v>0.07332</v>
      </c>
      <c r="B26" t="n">
        <v>0.06708</v>
      </c>
      <c r="C26" t="n">
        <v>0.07948999999999999</v>
      </c>
    </row>
    <row r="27">
      <c r="A27" t="n">
        <v>0.07887000000000001</v>
      </c>
      <c r="B27" t="n">
        <v>0.06287</v>
      </c>
      <c r="C27" t="n">
        <v>0.08122</v>
      </c>
    </row>
    <row r="28">
      <c r="A28" t="n">
        <v>0.0649</v>
      </c>
      <c r="B28" t="n">
        <v>0.05754</v>
      </c>
      <c r="C28" t="n">
        <v>0.06938</v>
      </c>
    </row>
    <row r="29">
      <c r="A29" t="n">
        <v>0.06227000000000001</v>
      </c>
      <c r="B29" t="n">
        <v>0.05214</v>
      </c>
      <c r="C29" t="n">
        <v>0.06577</v>
      </c>
    </row>
    <row r="30">
      <c r="A30" t="n">
        <v>0.05651</v>
      </c>
      <c r="B30" t="n">
        <v>0.03940999999999999</v>
      </c>
      <c r="C30" t="n">
        <v>0.05808</v>
      </c>
    </row>
    <row r="31">
      <c r="A31" t="n">
        <v>0.05247</v>
      </c>
      <c r="B31" t="n">
        <v>0.03849</v>
      </c>
      <c r="C31" t="n">
        <v>0.0539</v>
      </c>
    </row>
    <row r="32">
      <c r="A32" t="n">
        <v>0.054</v>
      </c>
      <c r="B32" t="n">
        <v>0.03678</v>
      </c>
      <c r="C32" t="n">
        <v>0.0551</v>
      </c>
    </row>
    <row r="33">
      <c r="A33" t="n">
        <v>0.0611</v>
      </c>
      <c r="B33" t="n">
        <v>0.03172</v>
      </c>
      <c r="C33" t="n">
        <v>0.06164</v>
      </c>
    </row>
    <row r="34">
      <c r="A34" t="n">
        <v>0.06404</v>
      </c>
      <c r="B34" t="n">
        <v>0.03195</v>
      </c>
      <c r="C34" t="n">
        <v>0.0649</v>
      </c>
    </row>
    <row r="35">
      <c r="A35" t="n">
        <v>0.07055</v>
      </c>
      <c r="B35" t="n">
        <v>0.03362</v>
      </c>
      <c r="C35" t="n">
        <v>0.07151</v>
      </c>
    </row>
    <row r="36">
      <c r="A36" t="n">
        <v>0.07015</v>
      </c>
      <c r="B36" t="n">
        <v>0.03094</v>
      </c>
      <c r="C36" t="n">
        <v>0.07087</v>
      </c>
    </row>
    <row r="37">
      <c r="A37" t="n">
        <v>0.0658</v>
      </c>
      <c r="B37" t="n">
        <v>0.032</v>
      </c>
      <c r="C37" t="n">
        <v>0.06667000000000001</v>
      </c>
    </row>
    <row r="38">
      <c r="A38" t="n">
        <v>0.08114</v>
      </c>
      <c r="B38" t="n">
        <v>0.03466</v>
      </c>
      <c r="C38" t="n">
        <v>0.08201</v>
      </c>
    </row>
    <row r="39">
      <c r="A39" t="n">
        <v>0.08572</v>
      </c>
      <c r="B39" t="n">
        <v>0.0394</v>
      </c>
      <c r="C39" t="n">
        <v>0.08660999999999999</v>
      </c>
    </row>
    <row r="40">
      <c r="A40" t="n">
        <v>0.08746</v>
      </c>
      <c r="B40" t="n">
        <v>0.04261</v>
      </c>
      <c r="C40" t="n">
        <v>0.08843999999999999</v>
      </c>
    </row>
    <row r="41">
      <c r="A41" t="n">
        <v>0.09126999999999999</v>
      </c>
      <c r="B41" t="n">
        <v>0.04465</v>
      </c>
      <c r="C41" t="n">
        <v>0.0925</v>
      </c>
    </row>
  </sheetData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41"/>
  <sheetViews>
    <sheetView workbookViewId="0">
      <selection activeCell="C23" sqref="C23"/>
    </sheetView>
  </sheetViews>
  <sheetFormatPr baseColWidth="8" defaultRowHeight="14.4"/>
  <sheetData>
    <row r="1">
      <c r="A1" s="1" t="inlineStr">
        <is>
          <t>folder</t>
        </is>
      </c>
      <c r="B1" s="1" t="inlineStr">
        <is>
          <t>angle</t>
        </is>
      </c>
      <c r="C1" s="1" t="inlineStr">
        <is>
          <t>P378_UX_extreme</t>
        </is>
      </c>
      <c r="D1" s="1" t="inlineStr">
        <is>
          <t>P378_UY_extreme</t>
        </is>
      </c>
      <c r="E1" s="1" t="inlineStr">
        <is>
          <t>P378_range_2D_extreme</t>
        </is>
      </c>
      <c r="F1" s="1" t="inlineStr">
        <is>
          <t>P54000060_UX_extreme</t>
        </is>
      </c>
      <c r="G1" s="1" t="inlineStr">
        <is>
          <t>P54000060_UY_extreme</t>
        </is>
      </c>
      <c r="H1" s="1" t="inlineStr">
        <is>
          <t>P54000060_range_2D_extreme</t>
        </is>
      </c>
      <c r="I1" s="1" t="inlineStr">
        <is>
          <t>P54000059_UX_extreme</t>
        </is>
      </c>
      <c r="J1" s="1" t="inlineStr">
        <is>
          <t>P54000059_UY_extreme</t>
        </is>
      </c>
      <c r="K1" s="1" t="inlineStr">
        <is>
          <t>P54000059_range_2D_extreme</t>
        </is>
      </c>
      <c r="L1" s="1" t="inlineStr">
        <is>
          <t>P54000066_UX_extreme</t>
        </is>
      </c>
      <c r="M1" s="1" t="inlineStr">
        <is>
          <t>P54000066_UY_extreme</t>
        </is>
      </c>
      <c r="N1" s="1" t="inlineStr">
        <is>
          <t>P54000066_range_2D_extreme</t>
        </is>
      </c>
      <c r="O1" s="1" t="inlineStr">
        <is>
          <t>P54000067_UX_extreme</t>
        </is>
      </c>
      <c r="P1" s="1" t="inlineStr">
        <is>
          <t>P54000067_UY_extreme</t>
        </is>
      </c>
      <c r="Q1" s="1" t="inlineStr">
        <is>
          <t>P54000067_range_2D_extreme</t>
        </is>
      </c>
    </row>
    <row r="2">
      <c r="A2" t="inlineStr">
        <is>
          <t>Model4_10yr_000</t>
        </is>
      </c>
      <c r="B2" t="n">
        <v>0</v>
      </c>
      <c r="C2" t="n">
        <v>0.06698</v>
      </c>
      <c r="D2" t="n">
        <v>0.03353</v>
      </c>
      <c r="E2" t="n">
        <v>0.06697</v>
      </c>
      <c r="F2" t="n">
        <v>0.06779</v>
      </c>
      <c r="G2" t="n">
        <v>0.02919</v>
      </c>
      <c r="H2" t="n">
        <v>0.06779</v>
      </c>
      <c r="I2" t="n">
        <v>0.06644</v>
      </c>
      <c r="J2" t="n">
        <v>0.02919</v>
      </c>
      <c r="K2" t="n">
        <v>0.06645999999999999</v>
      </c>
      <c r="L2" t="n">
        <v>0.06644</v>
      </c>
      <c r="M2" t="n">
        <v>0.0425</v>
      </c>
      <c r="N2" t="n">
        <v>0.06643</v>
      </c>
      <c r="O2" t="n">
        <v>0.06779</v>
      </c>
      <c r="P2" t="n">
        <v>0.0425</v>
      </c>
      <c r="Q2" t="n">
        <v>0.06803000000000001</v>
      </c>
    </row>
    <row r="3">
      <c r="A3" t="inlineStr">
        <is>
          <t>Model4_10yr_005</t>
        </is>
      </c>
      <c r="B3" t="n">
        <v>5</v>
      </c>
      <c r="C3" t="n">
        <v>0.06431000000000001</v>
      </c>
      <c r="D3" t="n">
        <v>0.03577</v>
      </c>
      <c r="E3" t="n">
        <v>0.06431000000000001</v>
      </c>
      <c r="F3" t="n">
        <v>0.06512999999999999</v>
      </c>
      <c r="G3" t="n">
        <v>0.02974</v>
      </c>
      <c r="H3" t="n">
        <v>0.06512999999999999</v>
      </c>
      <c r="I3" t="n">
        <v>0.06376</v>
      </c>
      <c r="J3" t="n">
        <v>0.02974</v>
      </c>
      <c r="K3" t="n">
        <v>0.0638</v>
      </c>
      <c r="L3" t="n">
        <v>0.06376</v>
      </c>
      <c r="M3" t="n">
        <v>0.04542</v>
      </c>
      <c r="N3" t="n">
        <v>0.06376</v>
      </c>
      <c r="O3" t="n">
        <v>0.06512999999999999</v>
      </c>
      <c r="P3" t="n">
        <v>0.04542</v>
      </c>
      <c r="Q3" t="n">
        <v>0.06551999999999999</v>
      </c>
    </row>
    <row r="4">
      <c r="A4" t="inlineStr">
        <is>
          <t>Model4_10yr_010</t>
        </is>
      </c>
      <c r="B4" t="n">
        <v>10</v>
      </c>
      <c r="C4" t="n">
        <v>0.0639</v>
      </c>
      <c r="D4" t="n">
        <v>0.03572</v>
      </c>
      <c r="E4" t="n">
        <v>0.0639</v>
      </c>
      <c r="F4" t="n">
        <v>0.06472</v>
      </c>
      <c r="G4" t="n">
        <v>0.03046</v>
      </c>
      <c r="H4" t="n">
        <v>0.06475</v>
      </c>
      <c r="I4" t="n">
        <v>0.06335</v>
      </c>
      <c r="J4" t="n">
        <v>0.03046</v>
      </c>
      <c r="K4" t="n">
        <v>0.06345000000000001</v>
      </c>
      <c r="L4" t="n">
        <v>0.06335</v>
      </c>
      <c r="M4" t="n">
        <v>0.04479</v>
      </c>
      <c r="N4" t="n">
        <v>0.06335</v>
      </c>
      <c r="O4" t="n">
        <v>0.06472</v>
      </c>
      <c r="P4" t="n">
        <v>0.04479</v>
      </c>
      <c r="Q4" t="n">
        <v>0.06491</v>
      </c>
    </row>
    <row r="5">
      <c r="A5" t="inlineStr">
        <is>
          <t>Model4_10yr_015</t>
        </is>
      </c>
      <c r="B5" t="n">
        <v>15</v>
      </c>
      <c r="C5" t="n">
        <v>0.06464</v>
      </c>
      <c r="D5" t="n">
        <v>0.03647</v>
      </c>
      <c r="E5" t="n">
        <v>0.06464</v>
      </c>
      <c r="F5" t="n">
        <v>0.06541</v>
      </c>
      <c r="G5" t="n">
        <v>0.03109</v>
      </c>
      <c r="H5" t="n">
        <v>0.06544</v>
      </c>
      <c r="I5" t="n">
        <v>0.06418</v>
      </c>
      <c r="J5" t="n">
        <v>0.03109</v>
      </c>
      <c r="K5" t="n">
        <v>0.06426000000000001</v>
      </c>
      <c r="L5" t="n">
        <v>0.06418</v>
      </c>
      <c r="M5" t="n">
        <v>0.04604</v>
      </c>
      <c r="N5" t="n">
        <v>0.06419</v>
      </c>
      <c r="O5" t="n">
        <v>0.06541</v>
      </c>
      <c r="P5" t="n">
        <v>0.04604</v>
      </c>
      <c r="Q5" t="n">
        <v>0.06562</v>
      </c>
    </row>
    <row r="6">
      <c r="A6" t="inlineStr">
        <is>
          <t>Model4_10yr_020</t>
        </is>
      </c>
      <c r="B6" t="n">
        <v>20</v>
      </c>
      <c r="C6" t="n">
        <v>0.06015</v>
      </c>
      <c r="D6" t="n">
        <v>0.03686</v>
      </c>
      <c r="E6" t="n">
        <v>0.06017</v>
      </c>
      <c r="F6" t="n">
        <v>0.0609</v>
      </c>
      <c r="G6" t="n">
        <v>0.03155</v>
      </c>
      <c r="H6" t="n">
        <v>0.06096</v>
      </c>
      <c r="I6" t="n">
        <v>0.05978</v>
      </c>
      <c r="J6" t="n">
        <v>0.03155</v>
      </c>
      <c r="K6" t="n">
        <v>0.05992</v>
      </c>
      <c r="L6" t="n">
        <v>0.05978</v>
      </c>
      <c r="M6" t="n">
        <v>0.04671</v>
      </c>
      <c r="N6" t="n">
        <v>0.06069</v>
      </c>
      <c r="O6" t="n">
        <v>0.0609</v>
      </c>
      <c r="P6" t="n">
        <v>0.04671</v>
      </c>
      <c r="Q6" t="n">
        <v>0.0614</v>
      </c>
    </row>
    <row r="7">
      <c r="A7" t="inlineStr">
        <is>
          <t>Model4_10yr_025</t>
        </is>
      </c>
      <c r="B7" t="n">
        <v>25</v>
      </c>
      <c r="C7" t="n">
        <v>0.04651</v>
      </c>
      <c r="D7" t="n">
        <v>0.03164</v>
      </c>
      <c r="E7" t="n">
        <v>0.04651</v>
      </c>
      <c r="F7" t="n">
        <v>0.04724</v>
      </c>
      <c r="G7" t="n">
        <v>0.02724</v>
      </c>
      <c r="H7" t="n">
        <v>0.04724</v>
      </c>
      <c r="I7" t="n">
        <v>0.04614</v>
      </c>
      <c r="J7" t="n">
        <v>0.02724</v>
      </c>
      <c r="K7" t="n">
        <v>0.04618</v>
      </c>
      <c r="L7" t="n">
        <v>0.04614</v>
      </c>
      <c r="M7" t="n">
        <v>0.04033</v>
      </c>
      <c r="N7" t="n">
        <v>0.04902</v>
      </c>
      <c r="O7" t="n">
        <v>0.04724</v>
      </c>
      <c r="P7" t="n">
        <v>0.04033</v>
      </c>
      <c r="Q7" t="n">
        <v>0.04969</v>
      </c>
    </row>
    <row r="8">
      <c r="A8" t="inlineStr">
        <is>
          <t>Model4_10yr_030</t>
        </is>
      </c>
      <c r="B8" t="n">
        <v>30</v>
      </c>
      <c r="C8" t="n">
        <v>0.04694</v>
      </c>
      <c r="D8" t="n">
        <v>0.02645</v>
      </c>
      <c r="E8" t="n">
        <v>0.04694</v>
      </c>
      <c r="F8" t="n">
        <v>0.04749</v>
      </c>
      <c r="G8" t="n">
        <v>0.02298</v>
      </c>
      <c r="H8" t="n">
        <v>0.0475</v>
      </c>
      <c r="I8" t="n">
        <v>0.04668</v>
      </c>
      <c r="J8" t="n">
        <v>0.02298</v>
      </c>
      <c r="K8" t="n">
        <v>0.04672</v>
      </c>
      <c r="L8" t="n">
        <v>0.04668</v>
      </c>
      <c r="M8" t="n">
        <v>0.03352</v>
      </c>
      <c r="N8" t="n">
        <v>0.04669</v>
      </c>
      <c r="O8" t="n">
        <v>0.04749</v>
      </c>
      <c r="P8" t="n">
        <v>0.03352</v>
      </c>
      <c r="Q8" t="n">
        <v>0.04765999999999999</v>
      </c>
    </row>
    <row r="9">
      <c r="A9" t="inlineStr">
        <is>
          <t>Model4_10yr_035</t>
        </is>
      </c>
      <c r="B9" t="n">
        <v>35</v>
      </c>
      <c r="C9" t="n">
        <v>0.04476</v>
      </c>
      <c r="D9" t="n">
        <v>0.02312</v>
      </c>
      <c r="E9" t="n">
        <v>0.04476</v>
      </c>
      <c r="F9" t="n">
        <v>0.04527</v>
      </c>
      <c r="G9" t="n">
        <v>0.01995</v>
      </c>
      <c r="H9" t="n">
        <v>0.04528</v>
      </c>
      <c r="I9" t="n">
        <v>0.0445</v>
      </c>
      <c r="J9" t="n">
        <v>0.01995</v>
      </c>
      <c r="K9" t="n">
        <v>0.04452</v>
      </c>
      <c r="L9" t="n">
        <v>0.0445</v>
      </c>
      <c r="M9" t="n">
        <v>0.0296</v>
      </c>
      <c r="N9" t="n">
        <v>0.0445</v>
      </c>
      <c r="O9" t="n">
        <v>0.04527</v>
      </c>
      <c r="P9" t="n">
        <v>0.0296</v>
      </c>
      <c r="Q9" t="n">
        <v>0.04543999999999999</v>
      </c>
    </row>
    <row r="10">
      <c r="A10" t="inlineStr">
        <is>
          <t>Model4_10yr_040</t>
        </is>
      </c>
      <c r="B10" t="n">
        <v>40</v>
      </c>
      <c r="C10" t="n">
        <v>0.04523</v>
      </c>
      <c r="D10" t="n">
        <v>0.01974</v>
      </c>
      <c r="E10" t="n">
        <v>0.04522</v>
      </c>
      <c r="F10" t="n">
        <v>0.04577000000000001</v>
      </c>
      <c r="G10" t="n">
        <v>0.01737</v>
      </c>
      <c r="H10" t="n">
        <v>0.04579</v>
      </c>
      <c r="I10" t="n">
        <v>0.04486</v>
      </c>
      <c r="J10" t="n">
        <v>0.01737</v>
      </c>
      <c r="K10" t="n">
        <v>0.04489</v>
      </c>
      <c r="L10" t="n">
        <v>0.04486</v>
      </c>
      <c r="M10" t="n">
        <v>0.02512</v>
      </c>
      <c r="N10" t="n">
        <v>0.04485</v>
      </c>
      <c r="O10" t="n">
        <v>0.04577000000000001</v>
      </c>
      <c r="P10" t="n">
        <v>0.02512</v>
      </c>
      <c r="Q10" t="n">
        <v>0.04584000000000001</v>
      </c>
    </row>
    <row r="11">
      <c r="A11" t="inlineStr">
        <is>
          <t>Model4_10yr_045</t>
        </is>
      </c>
      <c r="B11" t="n">
        <v>45</v>
      </c>
      <c r="C11" t="n">
        <v>0.04985</v>
      </c>
      <c r="D11" t="n">
        <v>0.01913</v>
      </c>
      <c r="E11" t="n">
        <v>0.04985</v>
      </c>
      <c r="F11" t="n">
        <v>0.05042</v>
      </c>
      <c r="G11" t="n">
        <v>0.01653</v>
      </c>
      <c r="H11" t="n">
        <v>0.05043</v>
      </c>
      <c r="I11" t="n">
        <v>0.04941</v>
      </c>
      <c r="J11" t="n">
        <v>0.01653</v>
      </c>
      <c r="K11" t="n">
        <v>0.04944</v>
      </c>
      <c r="L11" t="n">
        <v>0.04941</v>
      </c>
      <c r="M11" t="n">
        <v>0.02417</v>
      </c>
      <c r="N11" t="n">
        <v>0.04943</v>
      </c>
      <c r="O11" t="n">
        <v>0.05042</v>
      </c>
      <c r="P11" t="n">
        <v>0.02417</v>
      </c>
      <c r="Q11" t="n">
        <v>0.0505</v>
      </c>
    </row>
    <row r="12">
      <c r="A12" t="inlineStr">
        <is>
          <t>Model4_10yr_050</t>
        </is>
      </c>
      <c r="B12" t="n">
        <v>50</v>
      </c>
      <c r="C12" t="n">
        <v>0.04362</v>
      </c>
      <c r="D12" t="n">
        <v>0.01741</v>
      </c>
      <c r="E12" t="n">
        <v>0.04362</v>
      </c>
      <c r="F12" t="n">
        <v>0.0441</v>
      </c>
      <c r="G12" t="n">
        <v>0.01505</v>
      </c>
      <c r="H12" t="n">
        <v>0.04412</v>
      </c>
      <c r="I12" t="n">
        <v>0.04325</v>
      </c>
      <c r="J12" t="n">
        <v>0.01505</v>
      </c>
      <c r="K12" t="n">
        <v>0.04328</v>
      </c>
      <c r="L12" t="n">
        <v>0.04325</v>
      </c>
      <c r="M12" t="n">
        <v>0.02213</v>
      </c>
      <c r="N12" t="n">
        <v>0.04325</v>
      </c>
      <c r="O12" t="n">
        <v>0.0441</v>
      </c>
      <c r="P12" t="n">
        <v>0.02213</v>
      </c>
      <c r="Q12" t="n">
        <v>0.04415</v>
      </c>
    </row>
    <row r="13">
      <c r="A13" t="inlineStr">
        <is>
          <t>Model4_10yr_055</t>
        </is>
      </c>
      <c r="B13" t="n">
        <v>55</v>
      </c>
      <c r="C13" t="n">
        <v>0.04395</v>
      </c>
      <c r="D13" t="n">
        <v>0.01648</v>
      </c>
      <c r="E13" t="n">
        <v>0.04395</v>
      </c>
      <c r="F13" t="n">
        <v>0.04442</v>
      </c>
      <c r="G13" t="n">
        <v>0.01433</v>
      </c>
      <c r="H13" t="n">
        <v>0.04446</v>
      </c>
      <c r="I13" t="n">
        <v>0.04358</v>
      </c>
      <c r="J13" t="n">
        <v>0.01433</v>
      </c>
      <c r="K13" t="n">
        <v>0.04363</v>
      </c>
      <c r="L13" t="n">
        <v>0.04358</v>
      </c>
      <c r="M13" t="n">
        <v>0.02075</v>
      </c>
      <c r="N13" t="n">
        <v>0.04357</v>
      </c>
      <c r="O13" t="n">
        <v>0.04442</v>
      </c>
      <c r="P13" t="n">
        <v>0.02075</v>
      </c>
      <c r="Q13" t="n">
        <v>0.04443</v>
      </c>
    </row>
    <row r="14">
      <c r="A14" t="inlineStr">
        <is>
          <t>Model4_10yr_060</t>
        </is>
      </c>
      <c r="B14" t="n">
        <v>60</v>
      </c>
      <c r="C14" t="n">
        <v>0.04236</v>
      </c>
      <c r="D14" t="n">
        <v>0.01675</v>
      </c>
      <c r="E14" t="n">
        <v>0.04235</v>
      </c>
      <c r="F14" t="n">
        <v>0.04284</v>
      </c>
      <c r="G14" t="n">
        <v>0.01457</v>
      </c>
      <c r="H14" t="n">
        <v>0.04287</v>
      </c>
      <c r="I14" t="n">
        <v>0.04197</v>
      </c>
      <c r="J14" t="n">
        <v>0.01457</v>
      </c>
      <c r="K14" t="n">
        <v>0.04201</v>
      </c>
      <c r="L14" t="n">
        <v>0.04197</v>
      </c>
      <c r="M14" t="n">
        <v>0.02108</v>
      </c>
      <c r="N14" t="n">
        <v>0.04196</v>
      </c>
      <c r="O14" t="n">
        <v>0.04284</v>
      </c>
      <c r="P14" t="n">
        <v>0.02108</v>
      </c>
      <c r="Q14" t="n">
        <v>0.04287</v>
      </c>
    </row>
    <row r="15">
      <c r="A15" t="inlineStr">
        <is>
          <t>Model4_10yr_065</t>
        </is>
      </c>
      <c r="B15" t="n">
        <v>65</v>
      </c>
      <c r="C15" t="n">
        <v>0.04834</v>
      </c>
      <c r="D15" t="n">
        <v>0.017</v>
      </c>
      <c r="E15" t="n">
        <v>0.04834</v>
      </c>
      <c r="F15" t="n">
        <v>0.04888</v>
      </c>
      <c r="G15" t="n">
        <v>0.01464</v>
      </c>
      <c r="H15" t="n">
        <v>0.04891</v>
      </c>
      <c r="I15" t="n">
        <v>0.04788000000000001</v>
      </c>
      <c r="J15" t="n">
        <v>0.01464</v>
      </c>
      <c r="K15" t="n">
        <v>0.04792</v>
      </c>
      <c r="L15" t="n">
        <v>0.04788000000000001</v>
      </c>
      <c r="M15" t="n">
        <v>0.0215</v>
      </c>
      <c r="N15" t="n">
        <v>0.04788000000000001</v>
      </c>
      <c r="O15" t="n">
        <v>0.04888</v>
      </c>
      <c r="P15" t="n">
        <v>0.0215</v>
      </c>
      <c r="Q15" t="n">
        <v>0.04892000000000001</v>
      </c>
    </row>
    <row r="16">
      <c r="A16" t="inlineStr">
        <is>
          <t>Model4_10yr_070</t>
        </is>
      </c>
      <c r="B16" t="n">
        <v>70</v>
      </c>
      <c r="C16" t="n">
        <v>0.05207</v>
      </c>
      <c r="D16" t="n">
        <v>0.01605</v>
      </c>
      <c r="E16" t="n">
        <v>0.05206</v>
      </c>
      <c r="F16" t="n">
        <v>0.05269</v>
      </c>
      <c r="G16" t="n">
        <v>0.01423</v>
      </c>
      <c r="H16" t="n">
        <v>0.0527</v>
      </c>
      <c r="I16" t="n">
        <v>0.05153</v>
      </c>
      <c r="J16" t="n">
        <v>0.01423</v>
      </c>
      <c r="K16" t="n">
        <v>0.05154</v>
      </c>
      <c r="L16" t="n">
        <v>0.05153</v>
      </c>
      <c r="M16" t="n">
        <v>0.02057</v>
      </c>
      <c r="N16" t="n">
        <v>0.05154</v>
      </c>
      <c r="O16" t="n">
        <v>0.05269</v>
      </c>
      <c r="P16" t="n">
        <v>0.02057</v>
      </c>
      <c r="Q16" t="n">
        <v>0.05275</v>
      </c>
    </row>
    <row r="17">
      <c r="A17" t="inlineStr">
        <is>
          <t>Model4_10yr_075</t>
        </is>
      </c>
      <c r="B17" t="n">
        <v>75</v>
      </c>
      <c r="C17" t="n">
        <v>0.05914</v>
      </c>
      <c r="D17" t="n">
        <v>0.0166</v>
      </c>
      <c r="E17" t="n">
        <v>0.05913</v>
      </c>
      <c r="F17" t="n">
        <v>0.05987</v>
      </c>
      <c r="G17" t="n">
        <v>0.01488</v>
      </c>
      <c r="H17" t="n">
        <v>0.05989</v>
      </c>
      <c r="I17" t="n">
        <v>0.05849</v>
      </c>
      <c r="J17" t="n">
        <v>0.01488</v>
      </c>
      <c r="K17" t="n">
        <v>0.05852</v>
      </c>
      <c r="L17" t="n">
        <v>0.05849</v>
      </c>
      <c r="M17" t="n">
        <v>0.02135</v>
      </c>
      <c r="N17" t="n">
        <v>0.05851</v>
      </c>
      <c r="O17" t="n">
        <v>0.05987</v>
      </c>
      <c r="P17" t="n">
        <v>0.02135</v>
      </c>
      <c r="Q17" t="n">
        <v>0.05993</v>
      </c>
    </row>
    <row r="18">
      <c r="A18" t="inlineStr">
        <is>
          <t>Model4_10yr_080</t>
        </is>
      </c>
      <c r="B18" t="n">
        <v>80</v>
      </c>
      <c r="C18" t="n">
        <v>0.06026</v>
      </c>
      <c r="D18" t="n">
        <v>0.01723</v>
      </c>
      <c r="E18" t="n">
        <v>0.06026</v>
      </c>
      <c r="F18" t="n">
        <v>0.06100999999999999</v>
      </c>
      <c r="G18" t="n">
        <v>0.0155</v>
      </c>
      <c r="H18" t="n">
        <v>0.06105</v>
      </c>
      <c r="I18" t="n">
        <v>0.05959</v>
      </c>
      <c r="J18" t="n">
        <v>0.0155</v>
      </c>
      <c r="K18" t="n">
        <v>0.05963</v>
      </c>
      <c r="L18" t="n">
        <v>0.05959</v>
      </c>
      <c r="M18" t="n">
        <v>0.02225</v>
      </c>
      <c r="N18" t="n">
        <v>0.0596</v>
      </c>
      <c r="O18" t="n">
        <v>0.06100999999999999</v>
      </c>
      <c r="P18" t="n">
        <v>0.02225</v>
      </c>
      <c r="Q18" t="n">
        <v>0.06107</v>
      </c>
    </row>
    <row r="19">
      <c r="A19" t="inlineStr">
        <is>
          <t>Model4_10yr_085</t>
        </is>
      </c>
      <c r="B19" t="n">
        <v>85</v>
      </c>
      <c r="C19" t="n">
        <v>0.06497</v>
      </c>
      <c r="D19" t="n">
        <v>0.01899</v>
      </c>
      <c r="E19" t="n">
        <v>0.06495999999999999</v>
      </c>
      <c r="F19" t="n">
        <v>0.06583</v>
      </c>
      <c r="G19" t="n">
        <v>0.01709</v>
      </c>
      <c r="H19" t="n">
        <v>0.06584999999999999</v>
      </c>
      <c r="I19" t="n">
        <v>0.06420000000000001</v>
      </c>
      <c r="J19" t="n">
        <v>0.01709</v>
      </c>
      <c r="K19" t="n">
        <v>0.06422</v>
      </c>
      <c r="L19" t="n">
        <v>0.06420000000000001</v>
      </c>
      <c r="M19" t="n">
        <v>0.02441</v>
      </c>
      <c r="N19" t="n">
        <v>0.06422</v>
      </c>
      <c r="O19" t="n">
        <v>0.06583</v>
      </c>
      <c r="P19" t="n">
        <v>0.02441</v>
      </c>
      <c r="Q19" t="n">
        <v>0.06591</v>
      </c>
    </row>
    <row r="20">
      <c r="A20" t="inlineStr">
        <is>
          <t>Model4_10yr_090</t>
        </is>
      </c>
      <c r="B20" t="n">
        <v>90</v>
      </c>
      <c r="C20" t="n">
        <v>0.07323</v>
      </c>
      <c r="D20" t="n">
        <v>0.01932</v>
      </c>
      <c r="E20" t="n">
        <v>0.07323</v>
      </c>
      <c r="F20" t="n">
        <v>0.07409</v>
      </c>
      <c r="G20" t="n">
        <v>0.01697</v>
      </c>
      <c r="H20" t="n">
        <v>0.07411</v>
      </c>
      <c r="I20" t="n">
        <v>0.07244</v>
      </c>
      <c r="J20" t="n">
        <v>0.01697</v>
      </c>
      <c r="K20" t="n">
        <v>0.07246</v>
      </c>
      <c r="L20" t="n">
        <v>0.07244</v>
      </c>
      <c r="M20" t="n">
        <v>0.02484</v>
      </c>
      <c r="N20" t="n">
        <v>0.07248</v>
      </c>
      <c r="O20" t="n">
        <v>0.07409</v>
      </c>
      <c r="P20" t="n">
        <v>0.02484</v>
      </c>
      <c r="Q20" t="n">
        <v>0.07418999999999999</v>
      </c>
    </row>
    <row r="22">
      <c r="A22" s="1" t="inlineStr">
        <is>
          <t>P54000067_UX_extreme</t>
        </is>
      </c>
      <c r="B22" s="1" t="inlineStr">
        <is>
          <t>P54000067_UY_extreme</t>
        </is>
      </c>
      <c r="C22" s="1" t="inlineStr">
        <is>
          <t>P54000067_range_2D_extreme</t>
        </is>
      </c>
    </row>
    <row r="23">
      <c r="A23" t="n">
        <v>0.06779</v>
      </c>
      <c r="B23" t="n">
        <v>0.0425</v>
      </c>
      <c r="C23" t="n">
        <v>0.06803000000000001</v>
      </c>
    </row>
    <row r="24">
      <c r="A24" t="n">
        <v>0.06512999999999999</v>
      </c>
      <c r="B24" t="n">
        <v>0.04542</v>
      </c>
      <c r="C24" t="n">
        <v>0.06551999999999999</v>
      </c>
    </row>
    <row r="25">
      <c r="A25" t="n">
        <v>0.06472</v>
      </c>
      <c r="B25" t="n">
        <v>0.04479</v>
      </c>
      <c r="C25" t="n">
        <v>0.06491</v>
      </c>
    </row>
    <row r="26">
      <c r="A26" t="n">
        <v>0.06541</v>
      </c>
      <c r="B26" t="n">
        <v>0.04604</v>
      </c>
      <c r="C26" t="n">
        <v>0.06562</v>
      </c>
    </row>
    <row r="27">
      <c r="A27" t="n">
        <v>0.0609</v>
      </c>
      <c r="B27" t="n">
        <v>0.04671</v>
      </c>
      <c r="C27" t="n">
        <v>0.0614</v>
      </c>
    </row>
    <row r="28">
      <c r="A28" t="n">
        <v>0.04724</v>
      </c>
      <c r="B28" t="n">
        <v>0.04033</v>
      </c>
      <c r="C28" t="n">
        <v>0.04969</v>
      </c>
    </row>
    <row r="29">
      <c r="A29" t="n">
        <v>0.04749</v>
      </c>
      <c r="B29" t="n">
        <v>0.03352</v>
      </c>
      <c r="C29" t="n">
        <v>0.04765999999999999</v>
      </c>
    </row>
    <row r="30">
      <c r="A30" t="n">
        <v>0.04527</v>
      </c>
      <c r="B30" t="n">
        <v>0.0296</v>
      </c>
      <c r="C30" t="n">
        <v>0.04543999999999999</v>
      </c>
    </row>
    <row r="31">
      <c r="A31" t="n">
        <v>0.04577000000000001</v>
      </c>
      <c r="B31" t="n">
        <v>0.02512</v>
      </c>
      <c r="C31" t="n">
        <v>0.04584000000000001</v>
      </c>
    </row>
    <row r="32">
      <c r="A32" t="n">
        <v>0.05042</v>
      </c>
      <c r="B32" t="n">
        <v>0.02417</v>
      </c>
      <c r="C32" t="n">
        <v>0.0505</v>
      </c>
    </row>
    <row r="33">
      <c r="A33" t="n">
        <v>0.0441</v>
      </c>
      <c r="B33" t="n">
        <v>0.02213</v>
      </c>
      <c r="C33" t="n">
        <v>0.04415</v>
      </c>
    </row>
    <row r="34">
      <c r="A34" t="n">
        <v>0.04442</v>
      </c>
      <c r="B34" t="n">
        <v>0.02075</v>
      </c>
      <c r="C34" t="n">
        <v>0.04443</v>
      </c>
    </row>
    <row r="35">
      <c r="A35" t="n">
        <v>0.04284</v>
      </c>
      <c r="B35" t="n">
        <v>0.02108</v>
      </c>
      <c r="C35" t="n">
        <v>0.04287</v>
      </c>
    </row>
    <row r="36">
      <c r="A36" t="n">
        <v>0.04888</v>
      </c>
      <c r="B36" t="n">
        <v>0.0215</v>
      </c>
      <c r="C36" t="n">
        <v>0.04892000000000001</v>
      </c>
    </row>
    <row r="37">
      <c r="A37" t="n">
        <v>0.05269</v>
      </c>
      <c r="B37" t="n">
        <v>0.02057</v>
      </c>
      <c r="C37" t="n">
        <v>0.05275</v>
      </c>
    </row>
    <row r="38">
      <c r="A38" t="n">
        <v>0.05987</v>
      </c>
      <c r="B38" t="n">
        <v>0.02135</v>
      </c>
      <c r="C38" t="n">
        <v>0.05993</v>
      </c>
    </row>
    <row r="39">
      <c r="A39" t="n">
        <v>0.06100999999999999</v>
      </c>
      <c r="B39" t="n">
        <v>0.02225</v>
      </c>
      <c r="C39" t="n">
        <v>0.06107</v>
      </c>
    </row>
    <row r="40">
      <c r="A40" t="n">
        <v>0.06583</v>
      </c>
      <c r="B40" t="n">
        <v>0.02441</v>
      </c>
      <c r="C40" t="n">
        <v>0.06591</v>
      </c>
    </row>
    <row r="41">
      <c r="A41" t="n">
        <v>0.07409</v>
      </c>
      <c r="B41" t="n">
        <v>0.02484</v>
      </c>
      <c r="C41" t="n">
        <v>0.07418999999999999</v>
      </c>
    </row>
  </sheetData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76"/>
  <sheetViews>
    <sheetView tabSelected="1" topLeftCell="A49" zoomScaleNormal="100" workbookViewId="0">
      <selection activeCell="R27" sqref="R27"/>
    </sheetView>
  </sheetViews>
  <sheetFormatPr baseColWidth="8" defaultRowHeight="14.4"/>
  <sheetData>
    <row r="1">
      <c r="A1" t="inlineStr">
        <is>
          <t>图18(a)</t>
        </is>
      </c>
    </row>
    <row r="2">
      <c r="A2" t="inlineStr">
        <is>
          <t>1-1模型</t>
        </is>
      </c>
    </row>
    <row r="3">
      <c r="A3" t="inlineStr">
        <is>
          <t>matlab</t>
        </is>
      </c>
      <c r="B3" s="6" t="inlineStr">
        <is>
          <t>集中质量模型</t>
        </is>
      </c>
      <c r="E3" s="6" t="inlineStr">
        <is>
          <t>SAP2000模型</t>
        </is>
      </c>
      <c r="H3" s="6" t="inlineStr">
        <is>
          <t>偏差(%)</t>
        </is>
      </c>
    </row>
    <row r="4">
      <c r="A4" t="inlineStr">
        <is>
          <t>角度</t>
        </is>
      </c>
      <c r="B4" t="inlineStr">
        <is>
          <t>X</t>
        </is>
      </c>
      <c r="C4" t="inlineStr">
        <is>
          <t>Y</t>
        </is>
      </c>
      <c r="D4" t="inlineStr">
        <is>
          <t>A</t>
        </is>
      </c>
      <c r="E4" t="inlineStr">
        <is>
          <t>X</t>
        </is>
      </c>
      <c r="F4" t="inlineStr">
        <is>
          <t>Y</t>
        </is>
      </c>
      <c r="G4" t="inlineStr">
        <is>
          <t>A</t>
        </is>
      </c>
      <c r="H4" t="inlineStr">
        <is>
          <t>X</t>
        </is>
      </c>
      <c r="I4" t="inlineStr">
        <is>
          <t>Y</t>
        </is>
      </c>
      <c r="J4" t="inlineStr">
        <is>
          <t>A</t>
        </is>
      </c>
    </row>
    <row r="5">
      <c r="A5" t="n">
        <v>0</v>
      </c>
      <c r="B5" t="n">
        <v>0.144617542256563</v>
      </c>
      <c r="C5" t="n">
        <v>0.224229379003534</v>
      </c>
      <c r="D5" t="n">
        <v>0.228818019395143</v>
      </c>
      <c r="E5">
        <f>'1-1_Acceleration'!A14</f>
        <v/>
      </c>
      <c r="F5">
        <f>'1-1_Acceleration'!B14</f>
        <v/>
      </c>
      <c r="G5">
        <f>'1-1_Acceleration'!C14</f>
        <v/>
      </c>
      <c r="H5">
        <f>(E5-B5)/B5</f>
        <v/>
      </c>
      <c r="I5">
        <f>(F5-C5)/C5</f>
        <v/>
      </c>
      <c r="J5">
        <f>(G5-D5)/D5</f>
        <v/>
      </c>
    </row>
    <row r="6">
      <c r="A6" t="n">
        <v>0.0872664625997165</v>
      </c>
      <c r="B6" t="n">
        <v>0.145743830597801</v>
      </c>
      <c r="C6" t="n">
        <v>0.238914852657797</v>
      </c>
      <c r="D6" t="n">
        <v>0.242018594909096</v>
      </c>
      <c r="E6">
        <f>'1-1_Acceleration'!A15</f>
        <v/>
      </c>
      <c r="F6">
        <f>'1-1_Acceleration'!B15</f>
        <v/>
      </c>
      <c r="G6">
        <f>'1-1_Acceleration'!C15</f>
        <v/>
      </c>
      <c r="H6">
        <f>(E6-B6)/B6</f>
        <v/>
      </c>
      <c r="I6">
        <f>(F6-C6)/C6</f>
        <v/>
      </c>
      <c r="J6">
        <f>(G6-D6)/D6</f>
        <v/>
      </c>
    </row>
    <row r="7">
      <c r="A7" t="n">
        <v>0.174532925199433</v>
      </c>
      <c r="B7" t="n">
        <v>0.123218319821101</v>
      </c>
      <c r="C7" t="n">
        <v>0.195550423711429</v>
      </c>
      <c r="D7" t="n">
        <v>0.197901025559984</v>
      </c>
      <c r="E7">
        <f>'1-1_Acceleration'!A16</f>
        <v/>
      </c>
      <c r="F7">
        <f>'1-1_Acceleration'!B16</f>
        <v/>
      </c>
      <c r="G7">
        <f>'1-1_Acceleration'!C16</f>
        <v/>
      </c>
      <c r="H7">
        <f>(E7-B7)/B7</f>
        <v/>
      </c>
      <c r="I7">
        <f>(F7-C7)/C7</f>
        <v/>
      </c>
      <c r="J7">
        <f>(G7-D7)/D7</f>
        <v/>
      </c>
    </row>
    <row r="8">
      <c r="A8" t="n">
        <v>0.261799387799149</v>
      </c>
      <c r="B8" t="n">
        <v>0.119190932832967</v>
      </c>
      <c r="C8" t="n">
        <v>0.199966382060583</v>
      </c>
      <c r="D8" t="n">
        <v>0.201287478382664</v>
      </c>
      <c r="E8">
        <f>'1-1_Acceleration'!A17</f>
        <v/>
      </c>
      <c r="F8">
        <f>'1-1_Acceleration'!B17</f>
        <v/>
      </c>
      <c r="G8">
        <f>'1-1_Acceleration'!C17</f>
        <v/>
      </c>
      <c r="H8">
        <f>(E8-B8)/B8</f>
        <v/>
      </c>
      <c r="I8">
        <f>(F8-C8)/C8</f>
        <v/>
      </c>
      <c r="J8">
        <f>(G8-D8)/D8</f>
        <v/>
      </c>
    </row>
    <row r="9">
      <c r="A9" t="n">
        <v>0.349065850398866</v>
      </c>
      <c r="B9" t="n">
        <v>0.105740550632465</v>
      </c>
      <c r="C9" t="n">
        <v>0.147229371103357</v>
      </c>
      <c r="D9" t="n">
        <v>0.150365553159441</v>
      </c>
      <c r="E9">
        <f>'1-1_Acceleration'!A18</f>
        <v/>
      </c>
      <c r="F9">
        <f>'1-1_Acceleration'!B18</f>
        <v/>
      </c>
      <c r="G9">
        <f>'1-1_Acceleration'!C18</f>
        <v/>
      </c>
      <c r="H9">
        <f>(E9-B9)/B9</f>
        <v/>
      </c>
      <c r="I9">
        <f>(F9-C9)/C9</f>
        <v/>
      </c>
      <c r="J9">
        <f>(G9-D9)/D9</f>
        <v/>
      </c>
    </row>
    <row r="10">
      <c r="A10" t="n">
        <v>0.436332312998582</v>
      </c>
      <c r="B10" t="n">
        <v>0.113151330133636</v>
      </c>
      <c r="C10" t="n">
        <v>0.11653426316692</v>
      </c>
      <c r="D10" t="n">
        <v>0.129943884511105</v>
      </c>
      <c r="E10">
        <f>'1-1_Acceleration'!A19</f>
        <v/>
      </c>
      <c r="F10">
        <f>'1-1_Acceleration'!B19</f>
        <v/>
      </c>
      <c r="G10">
        <f>'1-1_Acceleration'!C19</f>
        <v/>
      </c>
      <c r="H10">
        <f>(E10-B10)/B10</f>
        <v/>
      </c>
      <c r="I10">
        <f>(F10-C10)/C10</f>
        <v/>
      </c>
      <c r="J10">
        <f>(G10-D10)/D10</f>
        <v/>
      </c>
    </row>
    <row r="11">
      <c r="A11" t="n">
        <v>0.523598775598299</v>
      </c>
      <c r="B11" t="n">
        <v>0.104811808145467</v>
      </c>
      <c r="C11" t="n">
        <v>0.12734449340182</v>
      </c>
      <c r="D11" t="n">
        <v>0.13194455836052</v>
      </c>
      <c r="E11">
        <f>'1-1_Acceleration'!A20</f>
        <v/>
      </c>
      <c r="F11">
        <f>'1-1_Acceleration'!B20</f>
        <v/>
      </c>
      <c r="G11">
        <f>'1-1_Acceleration'!C20</f>
        <v/>
      </c>
      <c r="H11">
        <f>(E11-B11)/B11</f>
        <v/>
      </c>
      <c r="I11">
        <f>(F11-C11)/C11</f>
        <v/>
      </c>
      <c r="J11">
        <f>(G11-D11)/D11</f>
        <v/>
      </c>
    </row>
    <row r="12">
      <c r="A12" t="n">
        <v>0.610865238198015</v>
      </c>
      <c r="B12" t="n">
        <v>0.110446566208899</v>
      </c>
      <c r="C12" t="n">
        <v>0.114415712852866</v>
      </c>
      <c r="D12" t="n">
        <v>0.127221128647636</v>
      </c>
      <c r="E12">
        <f>'1-1_Acceleration'!A21</f>
        <v/>
      </c>
      <c r="F12">
        <f>'1-1_Acceleration'!B21</f>
        <v/>
      </c>
      <c r="G12">
        <f>'1-1_Acceleration'!C21</f>
        <v/>
      </c>
      <c r="H12">
        <f>(E12-B12)/B12</f>
        <v/>
      </c>
      <c r="I12">
        <f>(F12-C12)/C12</f>
        <v/>
      </c>
      <c r="J12">
        <f>(G12-D12)/D12</f>
        <v/>
      </c>
    </row>
    <row r="13">
      <c r="A13" t="n">
        <v>0.698131700797732</v>
      </c>
      <c r="B13" t="n">
        <v>0.102752485148652</v>
      </c>
      <c r="C13" t="n">
        <v>0.0964044043027614</v>
      </c>
      <c r="D13" t="n">
        <v>0.112717366536148</v>
      </c>
      <c r="E13">
        <f>'1-1_Acceleration'!A22</f>
        <v/>
      </c>
      <c r="F13">
        <f>'1-1_Acceleration'!B22</f>
        <v/>
      </c>
      <c r="G13">
        <f>'1-1_Acceleration'!C22</f>
        <v/>
      </c>
      <c r="H13">
        <f>(E13-B13)/B13</f>
        <v/>
      </c>
      <c r="I13">
        <f>(F13-C13)/C13</f>
        <v/>
      </c>
      <c r="J13">
        <f>(G13-D13)/D13</f>
        <v/>
      </c>
    </row>
    <row r="14">
      <c r="A14" t="n">
        <v>0.7853981633974479</v>
      </c>
      <c r="B14" t="n">
        <v>0.0972536592135958</v>
      </c>
      <c r="C14" t="n">
        <v>0.10631356936144</v>
      </c>
      <c r="D14" t="n">
        <v>0.115269005057364</v>
      </c>
      <c r="E14">
        <f>'1-1_Acceleration'!A23</f>
        <v/>
      </c>
      <c r="F14">
        <f>'1-1_Acceleration'!B23</f>
        <v/>
      </c>
      <c r="G14">
        <f>'1-1_Acceleration'!C23</f>
        <v/>
      </c>
      <c r="H14">
        <f>(E14-B14)/B14</f>
        <v/>
      </c>
      <c r="I14">
        <f>(F14-C14)/C14</f>
        <v/>
      </c>
      <c r="J14">
        <f>(G14-D14)/D14</f>
        <v/>
      </c>
    </row>
    <row r="15">
      <c r="A15" t="n">
        <v>0.872664625997165</v>
      </c>
      <c r="B15" t="n">
        <v>0.0964044043027614</v>
      </c>
      <c r="C15" t="n">
        <v>0.102752485148652</v>
      </c>
      <c r="D15" t="n">
        <v>0.112717366536148</v>
      </c>
    </row>
    <row r="16">
      <c r="A16" t="n">
        <v>0.959931088596881</v>
      </c>
      <c r="B16" t="n">
        <v>0.114415712852866</v>
      </c>
      <c r="C16" t="n">
        <v>0.110446566208899</v>
      </c>
      <c r="D16" t="n">
        <v>0.127221128647636</v>
      </c>
    </row>
    <row r="17">
      <c r="A17" t="n">
        <v>1.0471975511966</v>
      </c>
      <c r="B17" t="n">
        <v>0.12734449340182</v>
      </c>
      <c r="C17" t="n">
        <v>0.104811808145467</v>
      </c>
      <c r="D17" t="n">
        <v>0.13194455836052</v>
      </c>
    </row>
    <row r="18">
      <c r="A18" t="n">
        <v>1.13446401379631</v>
      </c>
      <c r="B18" t="n">
        <v>0.11653426316692</v>
      </c>
      <c r="C18" t="n">
        <v>0.113151330133636</v>
      </c>
      <c r="D18" t="n">
        <v>0.129943884511105</v>
      </c>
    </row>
    <row r="19">
      <c r="A19" t="n">
        <v>1.22173047639603</v>
      </c>
      <c r="B19" t="n">
        <v>0.147229371103357</v>
      </c>
      <c r="C19" t="n">
        <v>0.105740550632465</v>
      </c>
      <c r="D19" t="n">
        <v>0.150365553159441</v>
      </c>
    </row>
    <row r="20">
      <c r="A20" t="n">
        <v>1.30899693899575</v>
      </c>
      <c r="B20" t="n">
        <v>0.199966382060583</v>
      </c>
      <c r="C20" t="n">
        <v>0.119190932832967</v>
      </c>
      <c r="D20" t="n">
        <v>0.201287478382664</v>
      </c>
    </row>
    <row r="21">
      <c r="A21" t="n">
        <v>1.39626340159546</v>
      </c>
      <c r="B21" t="n">
        <v>0.195550423711429</v>
      </c>
      <c r="C21" t="n">
        <v>0.123218319821101</v>
      </c>
      <c r="D21" t="n">
        <v>0.197901025559984</v>
      </c>
    </row>
    <row r="22">
      <c r="A22" t="n">
        <v>1.48352986419518</v>
      </c>
      <c r="B22" t="n">
        <v>0.238914852657797</v>
      </c>
      <c r="C22" t="n">
        <v>0.145743830597801</v>
      </c>
      <c r="D22" t="n">
        <v>0.242018594909096</v>
      </c>
    </row>
    <row r="23">
      <c r="A23" t="n">
        <v>1.5707963267949</v>
      </c>
      <c r="B23" t="n">
        <v>0.224229379003534</v>
      </c>
      <c r="C23" t="n">
        <v>0.144617542256563</v>
      </c>
      <c r="D23" t="n">
        <v>0.228818019395143</v>
      </c>
    </row>
    <row r="27">
      <c r="A27" t="inlineStr">
        <is>
          <t>2-1模型</t>
        </is>
      </c>
    </row>
    <row r="28">
      <c r="A28" t="inlineStr">
        <is>
          <t>matlab</t>
        </is>
      </c>
      <c r="B28" t="inlineStr">
        <is>
          <t>集中质量模型</t>
        </is>
      </c>
      <c r="E28" t="inlineStr">
        <is>
          <t>SAP2000模型</t>
        </is>
      </c>
      <c r="H28" t="inlineStr">
        <is>
          <t>偏差(%)</t>
        </is>
      </c>
    </row>
    <row r="29">
      <c r="A29" t="inlineStr">
        <is>
          <t>角度</t>
        </is>
      </c>
      <c r="B29" t="inlineStr">
        <is>
          <t>X</t>
        </is>
      </c>
      <c r="C29" t="inlineStr">
        <is>
          <t>Y</t>
        </is>
      </c>
      <c r="D29" t="inlineStr">
        <is>
          <t>A</t>
        </is>
      </c>
      <c r="E29" t="inlineStr">
        <is>
          <t>X</t>
        </is>
      </c>
      <c r="F29" t="inlineStr">
        <is>
          <t>Y</t>
        </is>
      </c>
      <c r="G29" t="inlineStr">
        <is>
          <t>A</t>
        </is>
      </c>
      <c r="H29" t="inlineStr">
        <is>
          <t>X</t>
        </is>
      </c>
      <c r="I29" t="inlineStr">
        <is>
          <t>Y</t>
        </is>
      </c>
      <c r="J29" t="inlineStr">
        <is>
          <t>A</t>
        </is>
      </c>
    </row>
    <row r="30">
      <c r="A30" t="n">
        <v>0</v>
      </c>
      <c r="B30" t="n">
        <v>0.132232093</v>
      </c>
      <c r="C30" t="n">
        <v>0.095521893</v>
      </c>
      <c r="D30" t="n">
        <v>0.137619637</v>
      </c>
      <c r="E30">
        <f>'2-1_Acceleration'!A23</f>
        <v/>
      </c>
      <c r="F30">
        <f>'2-1_Acceleration'!B23</f>
        <v/>
      </c>
      <c r="G30">
        <f>'2-1_Acceleration'!C23</f>
        <v/>
      </c>
      <c r="H30">
        <f>(E30-B30)/B30</f>
        <v/>
      </c>
      <c r="I30">
        <f>(F30-C30)/C30</f>
        <v/>
      </c>
      <c r="J30">
        <f>(G30-D30)/D30</f>
        <v/>
      </c>
    </row>
    <row r="31">
      <c r="A31" t="n">
        <v>0.087266463</v>
      </c>
      <c r="B31" t="n">
        <v>0.121683868</v>
      </c>
      <c r="C31" t="n">
        <v>0.097854451</v>
      </c>
      <c r="D31" t="n">
        <v>0.126096269</v>
      </c>
      <c r="E31">
        <f>'2-1_Acceleration'!A24</f>
        <v/>
      </c>
      <c r="F31">
        <f>'2-1_Acceleration'!B24</f>
        <v/>
      </c>
      <c r="G31">
        <f>'2-1_Acceleration'!C24</f>
        <v/>
      </c>
      <c r="H31">
        <f>(E31-B31)/B31</f>
        <v/>
      </c>
      <c r="I31">
        <f>(F31-C31)/C31</f>
        <v/>
      </c>
      <c r="J31">
        <f>(G31-D31)/D31</f>
        <v/>
      </c>
    </row>
    <row r="32">
      <c r="A32" t="n">
        <v>0.174532925</v>
      </c>
      <c r="B32" t="n">
        <v>0.129469308</v>
      </c>
      <c r="C32" t="n">
        <v>0.09811968</v>
      </c>
      <c r="D32" t="n">
        <v>0.134831579</v>
      </c>
      <c r="E32">
        <f>'2-1_Acceleration'!A25</f>
        <v/>
      </c>
      <c r="F32">
        <f>'2-1_Acceleration'!B25</f>
        <v/>
      </c>
      <c r="G32">
        <f>'2-1_Acceleration'!C25</f>
        <v/>
      </c>
      <c r="H32">
        <f>(E32-B32)/B32</f>
        <v/>
      </c>
      <c r="I32">
        <f>(F32-C32)/C32</f>
        <v/>
      </c>
      <c r="J32">
        <f>(G32-D32)/D32</f>
        <v/>
      </c>
    </row>
    <row r="33">
      <c r="A33" t="n">
        <v>0.261799388</v>
      </c>
      <c r="B33" t="n">
        <v>0.119927643</v>
      </c>
      <c r="C33" t="n">
        <v>0.09076880499999999</v>
      </c>
      <c r="D33" t="n">
        <v>0.125383893</v>
      </c>
      <c r="E33">
        <f>'2-1_Acceleration'!A26</f>
        <v/>
      </c>
      <c r="F33">
        <f>'2-1_Acceleration'!B26</f>
        <v/>
      </c>
      <c r="G33">
        <f>'2-1_Acceleration'!C26</f>
        <v/>
      </c>
      <c r="H33">
        <f>(E33-B33)/B33</f>
        <v/>
      </c>
      <c r="I33">
        <f>(F33-C33)/C33</f>
        <v/>
      </c>
      <c r="J33">
        <f>(G33-D33)/D33</f>
        <v/>
      </c>
    </row>
    <row r="34">
      <c r="A34" t="n">
        <v>0.34906585</v>
      </c>
      <c r="B34" t="n">
        <v>0.124606461</v>
      </c>
      <c r="C34" t="n">
        <v>0.092318128</v>
      </c>
      <c r="D34" t="n">
        <v>0.12927704</v>
      </c>
      <c r="E34">
        <f>'2-1_Acceleration'!A27</f>
        <v/>
      </c>
      <c r="F34">
        <f>'2-1_Acceleration'!B27</f>
        <v/>
      </c>
      <c r="G34">
        <f>'2-1_Acceleration'!C27</f>
        <v/>
      </c>
      <c r="H34">
        <f>(E34-B34)/B34</f>
        <v/>
      </c>
      <c r="I34">
        <f>(F34-C34)/C34</f>
        <v/>
      </c>
      <c r="J34">
        <f>(G34-D34)/D34</f>
        <v/>
      </c>
    </row>
    <row r="35">
      <c r="A35" t="n">
        <v>0.436332313</v>
      </c>
      <c r="B35" t="n">
        <v>0.104211697</v>
      </c>
      <c r="C35" t="n">
        <v>0.07181929300000001</v>
      </c>
      <c r="D35" t="n">
        <v>0.107871893</v>
      </c>
      <c r="E35">
        <f>'2-1_Acceleration'!A28</f>
        <v/>
      </c>
      <c r="F35">
        <f>'2-1_Acceleration'!B28</f>
        <v/>
      </c>
      <c r="G35">
        <f>'2-1_Acceleration'!C28</f>
        <v/>
      </c>
      <c r="H35">
        <f>(E35-B35)/B35</f>
        <v/>
      </c>
      <c r="I35">
        <f>(F35-C35)/C35</f>
        <v/>
      </c>
      <c r="J35">
        <f>(G35-D35)/D35</f>
        <v/>
      </c>
    </row>
    <row r="36">
      <c r="A36" t="n">
        <v>0.523598776</v>
      </c>
      <c r="B36" t="n">
        <v>0.09663227100000001</v>
      </c>
      <c r="C36" t="n">
        <v>0.06640101700000001</v>
      </c>
      <c r="D36" t="n">
        <v>0.099507069</v>
      </c>
      <c r="E36">
        <f>'2-1_Acceleration'!A29</f>
        <v/>
      </c>
      <c r="F36">
        <f>'2-1_Acceleration'!B29</f>
        <v/>
      </c>
      <c r="G36">
        <f>'2-1_Acceleration'!C29</f>
        <v/>
      </c>
      <c r="H36">
        <f>(E36-B36)/B36</f>
        <v/>
      </c>
      <c r="I36">
        <f>(F36-C36)/C36</f>
        <v/>
      </c>
      <c r="J36">
        <f>(G36-D36)/D36</f>
        <v/>
      </c>
    </row>
    <row r="37">
      <c r="A37" t="n">
        <v>0.610865238</v>
      </c>
      <c r="B37" t="n">
        <v>0.09673604800000001</v>
      </c>
      <c r="C37" t="n">
        <v>0.058162268</v>
      </c>
      <c r="D37" t="n">
        <v>0.09879360700000001</v>
      </c>
      <c r="E37">
        <f>'2-1_Acceleration'!A30</f>
        <v/>
      </c>
      <c r="F37">
        <f>'2-1_Acceleration'!B30</f>
        <v/>
      </c>
      <c r="G37">
        <f>'2-1_Acceleration'!C30</f>
        <v/>
      </c>
      <c r="H37">
        <f>(E37-B37)/B37</f>
        <v/>
      </c>
      <c r="I37">
        <f>(F37-C37)/C37</f>
        <v/>
      </c>
      <c r="J37">
        <f>(G37-D37)/D37</f>
        <v/>
      </c>
    </row>
    <row r="38">
      <c r="A38" t="n">
        <v>0.698131701</v>
      </c>
      <c r="B38" t="n">
        <v>0.0833724</v>
      </c>
      <c r="C38" t="n">
        <v>0.056316041</v>
      </c>
      <c r="D38" t="n">
        <v>0.08610860400000001</v>
      </c>
      <c r="E38">
        <f>'2-1_Acceleration'!A31</f>
        <v/>
      </c>
      <c r="F38">
        <f>'2-1_Acceleration'!B31</f>
        <v/>
      </c>
      <c r="G38">
        <f>'2-1_Acceleration'!C31</f>
        <v/>
      </c>
      <c r="H38">
        <f>(E38-B38)/B38</f>
        <v/>
      </c>
      <c r="I38">
        <f>(F38-C38)/C38</f>
        <v/>
      </c>
      <c r="J38">
        <f>(G38-D38)/D38</f>
        <v/>
      </c>
    </row>
    <row r="39">
      <c r="A39" t="n">
        <v>0.785398163</v>
      </c>
      <c r="B39" t="n">
        <v>0.082268566</v>
      </c>
      <c r="C39" t="n">
        <v>0.049343469</v>
      </c>
      <c r="D39" t="n">
        <v>0.084053221</v>
      </c>
      <c r="E39">
        <f>'2-1_Acceleration'!A32</f>
        <v/>
      </c>
      <c r="F39">
        <f>'2-1_Acceleration'!B32</f>
        <v/>
      </c>
      <c r="G39">
        <f>'2-1_Acceleration'!C32</f>
        <v/>
      </c>
      <c r="H39">
        <f>(E39-B39)/B39</f>
        <v/>
      </c>
      <c r="I39">
        <f>(F39-C39)/C39</f>
        <v/>
      </c>
      <c r="J39">
        <f>(G39-D39)/D39</f>
        <v/>
      </c>
    </row>
    <row r="40">
      <c r="A40" t="n">
        <v>0.8726646260000001</v>
      </c>
      <c r="B40" t="n">
        <v>0.08395169600000001</v>
      </c>
      <c r="C40" t="n">
        <v>0.055538906</v>
      </c>
      <c r="D40" t="n">
        <v>0.086621157</v>
      </c>
      <c r="E40">
        <f>'2-1_Acceleration'!A33</f>
        <v/>
      </c>
      <c r="F40">
        <f>'2-1_Acceleration'!B33</f>
        <v/>
      </c>
      <c r="G40">
        <f>'2-1_Acceleration'!C33</f>
        <v/>
      </c>
      <c r="H40">
        <f>(E40-B40)/B40</f>
        <v/>
      </c>
      <c r="I40">
        <f>(F40-C40)/C40</f>
        <v/>
      </c>
      <c r="J40">
        <f>(G40-D40)/D40</f>
        <v/>
      </c>
    </row>
    <row r="41">
      <c r="A41" t="n">
        <v>0.959931089</v>
      </c>
      <c r="B41" t="n">
        <v>0.088765076</v>
      </c>
      <c r="C41" t="n">
        <v>0.047363952</v>
      </c>
      <c r="D41" t="n">
        <v>0.09071779200000001</v>
      </c>
      <c r="E41">
        <f>'2-1_Acceleration'!A34</f>
        <v/>
      </c>
      <c r="F41">
        <f>'2-1_Acceleration'!B34</f>
        <v/>
      </c>
      <c r="G41">
        <f>'2-1_Acceleration'!C34</f>
        <v/>
      </c>
      <c r="H41">
        <f>(E41-B41)/B41</f>
        <v/>
      </c>
      <c r="I41">
        <f>(F41-C41)/C41</f>
        <v/>
      </c>
      <c r="J41">
        <f>(G41-D41)/D41</f>
        <v/>
      </c>
    </row>
    <row r="42">
      <c r="A42" t="n">
        <v>1.047197551</v>
      </c>
      <c r="B42" t="n">
        <v>0.088701158</v>
      </c>
      <c r="C42" t="n">
        <v>0.051556794</v>
      </c>
      <c r="D42" t="n">
        <v>0.09122053400000001</v>
      </c>
      <c r="E42">
        <f>'2-1_Acceleration'!A35</f>
        <v/>
      </c>
      <c r="F42">
        <f>'2-1_Acceleration'!B35</f>
        <v/>
      </c>
      <c r="G42">
        <f>'2-1_Acceleration'!C35</f>
        <v/>
      </c>
      <c r="H42">
        <f>(E42-B42)/B42</f>
        <v/>
      </c>
      <c r="I42">
        <f>(F42-C42)/C42</f>
        <v/>
      </c>
      <c r="J42">
        <f>(G42-D42)/D42</f>
        <v/>
      </c>
    </row>
    <row r="43">
      <c r="A43" t="n">
        <v>1.134464014</v>
      </c>
      <c r="B43" t="n">
        <v>0.108524897</v>
      </c>
      <c r="C43" t="n">
        <v>0.053694586</v>
      </c>
      <c r="D43" t="n">
        <v>0.111301978</v>
      </c>
      <c r="E43">
        <f>'2-1_Acceleration'!A36</f>
        <v/>
      </c>
      <c r="F43">
        <f>'2-1_Acceleration'!B36</f>
        <v/>
      </c>
      <c r="G43">
        <f>'2-1_Acceleration'!C36</f>
        <v/>
      </c>
      <c r="H43">
        <f>(E43-B43)/B43</f>
        <v/>
      </c>
      <c r="I43">
        <f>(F43-C43)/C43</f>
        <v/>
      </c>
      <c r="J43">
        <f>(G43-D43)/D43</f>
        <v/>
      </c>
    </row>
    <row r="44">
      <c r="A44" t="n">
        <v>1.221730476</v>
      </c>
      <c r="B44" t="n">
        <v>0.102688188</v>
      </c>
      <c r="C44" t="n">
        <v>0.053583073</v>
      </c>
      <c r="D44" t="n">
        <v>0.107157216</v>
      </c>
      <c r="E44">
        <f>'2-1_Acceleration'!A37</f>
        <v/>
      </c>
      <c r="F44">
        <f>'2-1_Acceleration'!B37</f>
        <v/>
      </c>
      <c r="G44">
        <f>'2-1_Acceleration'!C37</f>
        <v/>
      </c>
      <c r="H44">
        <f>(E44-B44)/B44</f>
        <v/>
      </c>
      <c r="I44">
        <f>(F44-C44)/C44</f>
        <v/>
      </c>
      <c r="J44">
        <f>(G44-D44)/D44</f>
        <v/>
      </c>
    </row>
    <row r="45">
      <c r="A45" t="n">
        <v>1.308996939</v>
      </c>
      <c r="B45" t="n">
        <v>0.117323212</v>
      </c>
      <c r="C45" t="n">
        <v>0.059746399</v>
      </c>
      <c r="D45" t="n">
        <v>0.122005851</v>
      </c>
      <c r="E45">
        <f>'2-1_Acceleration'!A38</f>
        <v/>
      </c>
      <c r="F45">
        <f>'2-1_Acceleration'!B38</f>
        <v/>
      </c>
      <c r="G45">
        <f>'2-1_Acceleration'!C38</f>
        <v/>
      </c>
      <c r="H45">
        <f>(E45-B45)/B45</f>
        <v/>
      </c>
      <c r="I45">
        <f>(F45-C45)/C45</f>
        <v/>
      </c>
      <c r="J45">
        <f>(G45-D45)/D45</f>
        <v/>
      </c>
    </row>
    <row r="46">
      <c r="A46" t="n">
        <v>1.396263402</v>
      </c>
      <c r="B46" t="n">
        <v>0.128849013</v>
      </c>
      <c r="C46" t="n">
        <v>0.069169682</v>
      </c>
      <c r="D46" t="n">
        <v>0.135388114</v>
      </c>
      <c r="E46">
        <f>'2-1_Acceleration'!A39</f>
        <v/>
      </c>
      <c r="F46">
        <f>'2-1_Acceleration'!B39</f>
        <v/>
      </c>
      <c r="G46">
        <f>'2-1_Acceleration'!C39</f>
        <v/>
      </c>
      <c r="H46">
        <f>(E46-B46)/B46</f>
        <v/>
      </c>
      <c r="I46">
        <f>(F46-C46)/C46</f>
        <v/>
      </c>
      <c r="J46">
        <f>(G46-D46)/D46</f>
        <v/>
      </c>
    </row>
    <row r="47">
      <c r="A47" t="n">
        <v>1.483529864</v>
      </c>
      <c r="B47" t="n">
        <v>0.172997672</v>
      </c>
      <c r="C47" t="n">
        <v>0.07933140900000001</v>
      </c>
      <c r="D47" t="n">
        <v>0.182908398</v>
      </c>
      <c r="E47">
        <f>'2-1_Acceleration'!A40</f>
        <v/>
      </c>
      <c r="F47">
        <f>'2-1_Acceleration'!B40</f>
        <v/>
      </c>
      <c r="G47">
        <f>'2-1_Acceleration'!C40</f>
        <v/>
      </c>
      <c r="H47">
        <f>(E47-B47)/B47</f>
        <v/>
      </c>
      <c r="I47">
        <f>(F47-C47)/C47</f>
        <v/>
      </c>
      <c r="J47">
        <f>(G47-D47)/D47</f>
        <v/>
      </c>
    </row>
    <row r="48">
      <c r="A48" t="n">
        <v>1.570796327</v>
      </c>
      <c r="B48" t="n">
        <v>0.164968139</v>
      </c>
      <c r="C48" t="n">
        <v>0.086099366</v>
      </c>
      <c r="D48" t="n">
        <v>0.175746287</v>
      </c>
      <c r="E48">
        <f>'2-1_Acceleration'!A41</f>
        <v/>
      </c>
      <c r="F48">
        <f>'2-1_Acceleration'!B41</f>
        <v/>
      </c>
      <c r="G48">
        <f>'2-1_Acceleration'!C41</f>
        <v/>
      </c>
      <c r="H48">
        <f>(E48-B48)/B48</f>
        <v/>
      </c>
      <c r="I48">
        <f>(F48-C48)/C48</f>
        <v/>
      </c>
      <c r="J48">
        <f>(G48-D48)/D48</f>
        <v/>
      </c>
    </row>
    <row r="55">
      <c r="A55" t="inlineStr">
        <is>
          <t>3-1模型</t>
        </is>
      </c>
    </row>
    <row r="56">
      <c r="A56" t="inlineStr">
        <is>
          <t>matlab</t>
        </is>
      </c>
      <c r="B56" t="inlineStr">
        <is>
          <t>集中质量模型</t>
        </is>
      </c>
      <c r="E56" t="inlineStr">
        <is>
          <t>SAP2000模型</t>
        </is>
      </c>
      <c r="H56" t="inlineStr">
        <is>
          <t>偏差(%)</t>
        </is>
      </c>
    </row>
    <row r="57">
      <c r="A57" t="inlineStr">
        <is>
          <t>角度</t>
        </is>
      </c>
      <c r="B57" t="inlineStr">
        <is>
          <t>X</t>
        </is>
      </c>
      <c r="C57" t="inlineStr">
        <is>
          <t>Y</t>
        </is>
      </c>
      <c r="D57" t="inlineStr">
        <is>
          <t>A</t>
        </is>
      </c>
      <c r="E57" t="inlineStr">
        <is>
          <t>X</t>
        </is>
      </c>
      <c r="F57" t="inlineStr">
        <is>
          <t>Y</t>
        </is>
      </c>
      <c r="G57" t="inlineStr">
        <is>
          <t>A</t>
        </is>
      </c>
      <c r="H57" t="inlineStr">
        <is>
          <t>X</t>
        </is>
      </c>
      <c r="I57" t="inlineStr">
        <is>
          <t>Y</t>
        </is>
      </c>
      <c r="J57" t="inlineStr">
        <is>
          <t>A</t>
        </is>
      </c>
    </row>
    <row r="58">
      <c r="A58" t="n">
        <v>0</v>
      </c>
      <c r="B58" t="n">
        <v>0.131909159254782</v>
      </c>
      <c r="C58" t="n">
        <v>0.058929978706447</v>
      </c>
      <c r="D58" t="n">
        <v>0.133586178567987</v>
      </c>
      <c r="E58">
        <f>'3-1_Acceleration'!A23</f>
        <v/>
      </c>
      <c r="F58">
        <f>'3-1_Acceleration'!B23</f>
        <v/>
      </c>
      <c r="G58">
        <f>'3-1_Acceleration'!C23</f>
        <v/>
      </c>
      <c r="H58">
        <f>(E58-B58)/B58</f>
        <v/>
      </c>
      <c r="I58">
        <f>(F58-C58)/C58</f>
        <v/>
      </c>
      <c r="J58">
        <f>(G58-D58)/D58</f>
        <v/>
      </c>
    </row>
    <row r="59">
      <c r="A59" t="n">
        <v>0.087266463</v>
      </c>
      <c r="B59" t="n">
        <v>0.128983703668261</v>
      </c>
      <c r="C59" t="n">
        <v>0.0515377703908114</v>
      </c>
      <c r="D59" t="n">
        <v>0.129666599161584</v>
      </c>
      <c r="E59">
        <f>'3-1_Acceleration'!A24</f>
        <v/>
      </c>
      <c r="F59">
        <f>'3-1_Acceleration'!B24</f>
        <v/>
      </c>
      <c r="G59">
        <f>'3-1_Acceleration'!C24</f>
        <v/>
      </c>
      <c r="H59">
        <f>(E59-B59)/B59</f>
        <v/>
      </c>
      <c r="I59">
        <f>(F59-C59)/C59</f>
        <v/>
      </c>
      <c r="J59">
        <f>(G59-D59)/D59</f>
        <v/>
      </c>
    </row>
    <row r="60">
      <c r="A60" t="n">
        <v>0.174532925</v>
      </c>
      <c r="B60" t="n">
        <v>0.118551883928231</v>
      </c>
      <c r="C60" t="n">
        <v>0.058047353042828</v>
      </c>
      <c r="D60" t="n">
        <v>0.119775740231519</v>
      </c>
      <c r="E60">
        <f>'3-1_Acceleration'!A25</f>
        <v/>
      </c>
      <c r="F60">
        <f>'3-1_Acceleration'!B25</f>
        <v/>
      </c>
      <c r="G60">
        <f>'3-1_Acceleration'!C25</f>
        <v/>
      </c>
      <c r="H60">
        <f>(E60-B60)/B60</f>
        <v/>
      </c>
      <c r="I60">
        <f>(F60-C60)/C60</f>
        <v/>
      </c>
      <c r="J60">
        <f>(G60-D60)/D60</f>
        <v/>
      </c>
    </row>
    <row r="61">
      <c r="A61" t="n">
        <v>0.261799388</v>
      </c>
      <c r="B61" t="n">
        <v>0.12546483785543</v>
      </c>
      <c r="C61" t="n">
        <v>0.0578351830419796</v>
      </c>
      <c r="D61" t="n">
        <v>0.12658099419576</v>
      </c>
      <c r="E61">
        <f>'3-1_Acceleration'!A26</f>
        <v/>
      </c>
      <c r="F61">
        <f>'3-1_Acceleration'!B26</f>
        <v/>
      </c>
      <c r="G61">
        <f>'3-1_Acceleration'!C26</f>
        <v/>
      </c>
      <c r="H61">
        <f>(E61-B61)/B61</f>
        <v/>
      </c>
      <c r="I61">
        <f>(F61-C61)/C61</f>
        <v/>
      </c>
      <c r="J61">
        <f>(G61-D61)/D61</f>
        <v/>
      </c>
    </row>
    <row r="62">
      <c r="A62" t="n">
        <v>0.34906585</v>
      </c>
      <c r="B62" t="n">
        <v>0.109851110046099</v>
      </c>
      <c r="C62" t="n">
        <v>0.0557633855480765</v>
      </c>
      <c r="D62" t="n">
        <v>0.111015595330191</v>
      </c>
      <c r="E62">
        <f>'3-1_Acceleration'!A27</f>
        <v/>
      </c>
      <c r="F62">
        <f>'3-1_Acceleration'!B27</f>
        <v/>
      </c>
      <c r="G62">
        <f>'3-1_Acceleration'!C27</f>
        <v/>
      </c>
      <c r="H62">
        <f>(E62-B62)/B62</f>
        <v/>
      </c>
      <c r="I62">
        <f>(F62-C62)/C62</f>
        <v/>
      </c>
      <c r="J62">
        <f>(G62-D62)/D62</f>
        <v/>
      </c>
    </row>
    <row r="63">
      <c r="A63" t="n">
        <v>0.436332313</v>
      </c>
      <c r="B63" t="n">
        <v>0.103682403408451</v>
      </c>
      <c r="C63" t="n">
        <v>0.0533594268870025</v>
      </c>
      <c r="D63" t="n">
        <v>0.104986006948604</v>
      </c>
      <c r="E63">
        <f>'3-1_Acceleration'!A28</f>
        <v/>
      </c>
      <c r="F63">
        <f>'3-1_Acceleration'!B28</f>
        <v/>
      </c>
      <c r="G63">
        <f>'3-1_Acceleration'!C28</f>
        <v/>
      </c>
      <c r="H63">
        <f>(E63-B63)/B63</f>
        <v/>
      </c>
      <c r="I63">
        <f>(F63-C63)/C63</f>
        <v/>
      </c>
      <c r="J63">
        <f>(G63-D63)/D63</f>
        <v/>
      </c>
    </row>
    <row r="64">
      <c r="A64" t="n">
        <v>0.523598776</v>
      </c>
      <c r="B64" t="n">
        <v>0.09515522176551749</v>
      </c>
      <c r="C64" t="n">
        <v>0.0445599739689421</v>
      </c>
      <c r="D64" t="n">
        <v>0.0961448858249187</v>
      </c>
      <c r="E64">
        <f>'3-1_Acceleration'!A29</f>
        <v/>
      </c>
      <c r="F64">
        <f>'3-1_Acceleration'!B29</f>
        <v/>
      </c>
      <c r="G64">
        <f>'3-1_Acceleration'!C29</f>
        <v/>
      </c>
      <c r="H64">
        <f>(E64-B64)/B64</f>
        <v/>
      </c>
      <c r="I64">
        <f>(F64-C64)/C64</f>
        <v/>
      </c>
      <c r="J64">
        <f>(G64-D64)/D64</f>
        <v/>
      </c>
    </row>
    <row r="65">
      <c r="A65" t="n">
        <v>0.610865238</v>
      </c>
      <c r="B65" t="n">
        <v>0.0964617397389633</v>
      </c>
      <c r="C65" t="n">
        <v>0.0412971253674703</v>
      </c>
      <c r="D65" t="n">
        <v>0.0974167167020631</v>
      </c>
      <c r="E65">
        <f>'3-1_Acceleration'!A30</f>
        <v/>
      </c>
      <c r="F65">
        <f>'3-1_Acceleration'!B30</f>
        <v/>
      </c>
      <c r="G65">
        <f>'3-1_Acceleration'!C30</f>
        <v/>
      </c>
      <c r="H65">
        <f>(E65-B65)/B65</f>
        <v/>
      </c>
      <c r="I65">
        <f>(F65-C65)/C65</f>
        <v/>
      </c>
      <c r="J65">
        <f>(G65-D65)/D65</f>
        <v/>
      </c>
    </row>
    <row r="66">
      <c r="A66" t="n">
        <v>0.698131701</v>
      </c>
      <c r="B66" t="n">
        <v>0.0866388522018374</v>
      </c>
      <c r="C66" t="n">
        <v>0.0413652706962129</v>
      </c>
      <c r="D66" t="n">
        <v>0.0878911756248066</v>
      </c>
      <c r="E66">
        <f>'3-1_Acceleration'!A31</f>
        <v/>
      </c>
      <c r="F66">
        <f>'3-1_Acceleration'!B31</f>
        <v/>
      </c>
      <c r="G66">
        <f>'3-1_Acceleration'!C31</f>
        <v/>
      </c>
      <c r="H66">
        <f>(E66-B66)/B66</f>
        <v/>
      </c>
      <c r="I66">
        <f>(F66-C66)/C66</f>
        <v/>
      </c>
      <c r="J66">
        <f>(G66-D66)/D66</f>
        <v/>
      </c>
    </row>
    <row r="67">
      <c r="A67" t="n">
        <v>0.785398163</v>
      </c>
      <c r="B67" t="n">
        <v>0.0837051543073532</v>
      </c>
      <c r="C67" t="n">
        <v>0.038890644140652</v>
      </c>
      <c r="D67" t="n">
        <v>0.0850706904431537</v>
      </c>
      <c r="E67">
        <f>'3-1_Acceleration'!A32</f>
        <v/>
      </c>
      <c r="F67">
        <f>'3-1_Acceleration'!B32</f>
        <v/>
      </c>
      <c r="G67">
        <f>'3-1_Acceleration'!C32</f>
        <v/>
      </c>
      <c r="H67">
        <f>(E67-B67)/B67</f>
        <v/>
      </c>
      <c r="I67">
        <f>(F67-C67)/C67</f>
        <v/>
      </c>
      <c r="J67">
        <f>(G67-D67)/D67</f>
        <v/>
      </c>
    </row>
    <row r="68">
      <c r="A68" t="n">
        <v>0.8726646260000001</v>
      </c>
      <c r="B68" t="n">
        <v>0.0772793078987509</v>
      </c>
      <c r="C68" t="n">
        <v>0.0376743691780608</v>
      </c>
      <c r="D68" t="n">
        <v>0.0787923861843388</v>
      </c>
      <c r="E68">
        <f>'3-1_Acceleration'!A33</f>
        <v/>
      </c>
      <c r="F68">
        <f>'3-1_Acceleration'!B33</f>
        <v/>
      </c>
      <c r="G68">
        <f>'3-1_Acceleration'!C33</f>
        <v/>
      </c>
      <c r="H68">
        <f>(E68-B68)/B68</f>
        <v/>
      </c>
      <c r="I68">
        <f>(F68-C68)/C68</f>
        <v/>
      </c>
      <c r="J68">
        <f>(G68-D68)/D68</f>
        <v/>
      </c>
    </row>
    <row r="69">
      <c r="A69" t="n">
        <v>0.959931089</v>
      </c>
      <c r="B69" t="n">
        <v>0.0850030223739295</v>
      </c>
      <c r="C69" t="n">
        <v>0.0377178647369395</v>
      </c>
      <c r="D69" t="n">
        <v>0.0865759036183254</v>
      </c>
      <c r="E69">
        <f>'3-1_Acceleration'!A34</f>
        <v/>
      </c>
      <c r="F69">
        <f>'3-1_Acceleration'!B34</f>
        <v/>
      </c>
      <c r="G69">
        <f>'3-1_Acceleration'!C34</f>
        <v/>
      </c>
      <c r="H69">
        <f>(E69-B69)/B69</f>
        <v/>
      </c>
      <c r="I69">
        <f>(F69-C69)/C69</f>
        <v/>
      </c>
      <c r="J69">
        <f>(G69-D69)/D69</f>
        <v/>
      </c>
    </row>
    <row r="70">
      <c r="A70" t="n">
        <v>1.047197551</v>
      </c>
      <c r="B70" t="n">
        <v>0.08424505886260911</v>
      </c>
      <c r="C70" t="n">
        <v>0.0349528946807325</v>
      </c>
      <c r="D70" t="n">
        <v>0.0858114664471137</v>
      </c>
      <c r="E70">
        <f>'3-1_Acceleration'!A35</f>
        <v/>
      </c>
      <c r="F70">
        <f>'3-1_Acceleration'!B35</f>
        <v/>
      </c>
      <c r="G70">
        <f>'3-1_Acceleration'!C35</f>
        <v/>
      </c>
      <c r="H70">
        <f>(E70-B70)/B70</f>
        <v/>
      </c>
      <c r="I70">
        <f>(F70-C70)/C70</f>
        <v/>
      </c>
      <c r="J70">
        <f>(G70-D70)/D70</f>
        <v/>
      </c>
    </row>
    <row r="71">
      <c r="A71" t="n">
        <v>1.134464014</v>
      </c>
      <c r="B71" t="n">
        <v>0.08850479525315789</v>
      </c>
      <c r="C71" t="n">
        <v>0.0354591236084681</v>
      </c>
      <c r="D71" t="n">
        <v>0.0898343816477517</v>
      </c>
      <c r="E71">
        <f>'3-1_Acceleration'!A36</f>
        <v/>
      </c>
      <c r="F71">
        <f>'3-1_Acceleration'!B36</f>
        <v/>
      </c>
      <c r="G71">
        <f>'3-1_Acceleration'!C36</f>
        <v/>
      </c>
      <c r="H71">
        <f>(E71-B71)/B71</f>
        <v/>
      </c>
      <c r="I71">
        <f>(F71-C71)/C71</f>
        <v/>
      </c>
      <c r="J71">
        <f>(G71-D71)/D71</f>
        <v/>
      </c>
    </row>
    <row r="72">
      <c r="A72" t="n">
        <v>1.221730476</v>
      </c>
      <c r="B72" t="n">
        <v>0.0861500564074833</v>
      </c>
      <c r="C72" t="n">
        <v>0.0400253100743882</v>
      </c>
      <c r="D72" t="n">
        <v>0.08784667625897059</v>
      </c>
      <c r="E72">
        <f>'3-1_Acceleration'!A37</f>
        <v/>
      </c>
      <c r="F72">
        <f>'3-1_Acceleration'!B37</f>
        <v/>
      </c>
      <c r="G72">
        <f>'3-1_Acceleration'!C37</f>
        <v/>
      </c>
      <c r="H72">
        <f>(E72-B72)/B72</f>
        <v/>
      </c>
      <c r="I72">
        <f>(F72-C72)/C72</f>
        <v/>
      </c>
      <c r="J72">
        <f>(G72-D72)/D72</f>
        <v/>
      </c>
    </row>
    <row r="73">
      <c r="A73" t="n">
        <v>1.308996939</v>
      </c>
      <c r="B73" t="n">
        <v>0.0981709786644379</v>
      </c>
      <c r="C73" t="n">
        <v>0.0402184629352275</v>
      </c>
      <c r="D73" t="n">
        <v>0.100015712124532</v>
      </c>
      <c r="E73">
        <f>'3-1_Acceleration'!A38</f>
        <v/>
      </c>
      <c r="F73">
        <f>'3-1_Acceleration'!B38</f>
        <v/>
      </c>
      <c r="G73">
        <f>'3-1_Acceleration'!C38</f>
        <v/>
      </c>
      <c r="H73">
        <f>(E73-B73)/B73</f>
        <v/>
      </c>
      <c r="I73">
        <f>(F73-C73)/C73</f>
        <v/>
      </c>
      <c r="J73">
        <f>(G73-D73)/D73</f>
        <v/>
      </c>
    </row>
    <row r="74">
      <c r="A74" t="n">
        <v>1.396263402</v>
      </c>
      <c r="B74" t="n">
        <v>0.118880303918294</v>
      </c>
      <c r="C74" t="n">
        <v>0.0443381989938114</v>
      </c>
      <c r="D74" t="n">
        <v>0.120565536929489</v>
      </c>
      <c r="E74">
        <f>'3-1_Acceleration'!A39</f>
        <v/>
      </c>
      <c r="F74">
        <f>'3-1_Acceleration'!B39</f>
        <v/>
      </c>
      <c r="G74">
        <f>'3-1_Acceleration'!C39</f>
        <v/>
      </c>
      <c r="H74">
        <f>(E74-B74)/B74</f>
        <v/>
      </c>
      <c r="I74">
        <f>(F74-C74)/C74</f>
        <v/>
      </c>
      <c r="J74">
        <f>(G74-D74)/D74</f>
        <v/>
      </c>
    </row>
    <row r="75">
      <c r="A75" t="n">
        <v>1.483529864</v>
      </c>
      <c r="B75" t="n">
        <v>0.110334335989004</v>
      </c>
      <c r="C75" t="n">
        <v>0.0461231619416555</v>
      </c>
      <c r="D75" t="n">
        <v>0.112551701534839</v>
      </c>
      <c r="E75">
        <f>'3-1_Acceleration'!A40</f>
        <v/>
      </c>
      <c r="F75">
        <f>'3-1_Acceleration'!B40</f>
        <v/>
      </c>
      <c r="G75">
        <f>'3-1_Acceleration'!C40</f>
        <v/>
      </c>
      <c r="H75">
        <f>(E75-B75)/B75</f>
        <v/>
      </c>
      <c r="I75">
        <f>(F75-C75)/C75</f>
        <v/>
      </c>
      <c r="J75">
        <f>(G75-D75)/D75</f>
        <v/>
      </c>
    </row>
    <row r="76">
      <c r="A76" t="n">
        <v>1.570796327</v>
      </c>
      <c r="B76" t="n">
        <v>0.128771874945226</v>
      </c>
      <c r="C76" t="n">
        <v>0.0459019414281077</v>
      </c>
      <c r="D76" t="n">
        <v>0.13088670980852</v>
      </c>
      <c r="E76">
        <f>'3-1_Acceleration'!A41</f>
        <v/>
      </c>
      <c r="F76">
        <f>'3-1_Acceleration'!B41</f>
        <v/>
      </c>
      <c r="G76">
        <f>'3-1_Acceleration'!C41</f>
        <v/>
      </c>
      <c r="H76">
        <f>(E76-B76)/B76</f>
        <v/>
      </c>
      <c r="I76">
        <f>(F76-C76)/C76</f>
        <v/>
      </c>
      <c r="J76">
        <f>(G76-D76)/D76</f>
        <v/>
      </c>
    </row>
  </sheetData>
  <mergeCells count="3">
    <mergeCell ref="H3:J3"/>
    <mergeCell ref="B3:D3"/>
    <mergeCell ref="E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K7" sqref="K7"/>
    </sheetView>
  </sheetViews>
  <sheetFormatPr baseColWidth="8" defaultRowHeight="14.4"/>
  <cols>
    <col width="10.33203125" bestFit="1" customWidth="1" style="3" min="1" max="2"/>
    <col width="10.21875" bestFit="1" customWidth="1" style="3" min="3" max="3"/>
    <col width="10.21875" customWidth="1" style="3" min="4" max="4"/>
    <col width="10.33203125" bestFit="1" customWidth="1" style="3" min="5" max="5"/>
    <col width="9.5546875" bestFit="1" customWidth="1" style="3" min="6" max="6"/>
    <col width="10.5546875" bestFit="1" customWidth="1" style="3" min="7" max="7"/>
    <col width="8.88671875" customWidth="1" style="3" min="8" max="16384"/>
  </cols>
  <sheetData>
    <row r="1" ht="16.2" customHeight="1" s="7" thickBot="1">
      <c r="A1" s="4" t="n">
        <v>200</v>
      </c>
      <c r="B1" s="4" t="n">
        <v>1830</v>
      </c>
      <c r="C1" s="4" t="n">
        <v>3792</v>
      </c>
      <c r="D1" s="4">
        <f>(C1-B1)/B1</f>
        <v/>
      </c>
      <c r="E1" s="4" t="n">
        <v>6.07</v>
      </c>
      <c r="F1" s="4" t="n">
        <v>6.809</v>
      </c>
      <c r="G1" s="4">
        <f>(F1-E1)/E1</f>
        <v/>
      </c>
    </row>
    <row r="2" ht="16.2" customHeight="1" s="7" thickBot="1">
      <c r="A2" s="5" t="n">
        <v>196</v>
      </c>
      <c r="B2" s="5" t="n">
        <v>1830</v>
      </c>
      <c r="C2" s="5" t="n">
        <v>3792</v>
      </c>
      <c r="D2" s="5">
        <f>(C2-B2)/B2</f>
        <v/>
      </c>
      <c r="E2" s="5" t="n">
        <v>5.35</v>
      </c>
      <c r="F2" s="5" t="n">
        <v>5.66815</v>
      </c>
      <c r="G2" s="5">
        <f>(F2-E2)/E2</f>
        <v/>
      </c>
    </row>
    <row r="3" ht="16.2" customHeight="1" s="7" thickBot="1">
      <c r="A3" s="5" t="n">
        <v>192</v>
      </c>
      <c r="B3" s="5" t="n">
        <v>565000</v>
      </c>
      <c r="C3" s="5" t="n">
        <v>2712900</v>
      </c>
      <c r="D3" s="5">
        <f>(C3-B3)/B3</f>
        <v/>
      </c>
      <c r="E3" s="5" t="n">
        <v>4.82</v>
      </c>
      <c r="F3" s="5" t="n">
        <v>5.159061</v>
      </c>
      <c r="G3" s="5">
        <f>(F3-E3)/E3</f>
        <v/>
      </c>
    </row>
    <row r="4" ht="16.2" customHeight="1" s="7" thickBot="1">
      <c r="A4" s="5" t="n">
        <v>189</v>
      </c>
      <c r="B4" s="5" t="n">
        <v>1910</v>
      </c>
      <c r="C4" s="5" t="n">
        <v>3792</v>
      </c>
      <c r="D4" s="5">
        <f>(C4-B4)/B4</f>
        <v/>
      </c>
      <c r="E4" s="5" t="n">
        <v>1.96</v>
      </c>
      <c r="F4" s="5" t="n">
        <v>2.172484</v>
      </c>
      <c r="G4" s="5">
        <f>(F4-E4)/E4</f>
        <v/>
      </c>
    </row>
    <row r="5" ht="16.2" customHeight="1" s="7" thickBot="1">
      <c r="A5" s="5" t="n">
        <v>185</v>
      </c>
      <c r="B5" s="5" t="n">
        <v>1910</v>
      </c>
      <c r="C5" s="5" t="n">
        <v>3792</v>
      </c>
      <c r="D5" s="5">
        <f>(C5-B5)/B5</f>
        <v/>
      </c>
      <c r="E5" s="5" t="n">
        <v>1.56</v>
      </c>
      <c r="F5" s="5" t="n">
        <v>1.656954</v>
      </c>
      <c r="G5" s="5">
        <f>(F5-E5)/E5</f>
        <v/>
      </c>
    </row>
    <row r="6" ht="16.2" customHeight="1" s="7" thickBot="1">
      <c r="A6" s="4" t="inlineStr">
        <is>
          <t>….</t>
        </is>
      </c>
      <c r="B6" s="4" t="n"/>
      <c r="C6" s="4" t="n"/>
      <c r="D6" s="4" t="n"/>
      <c r="E6" s="4" t="n"/>
      <c r="F6" s="4" t="n"/>
      <c r="G6" s="4" t="n"/>
    </row>
    <row r="7" ht="16.2" customHeight="1" s="7" thickBot="1">
      <c r="A7" s="5" t="n">
        <v>23.1</v>
      </c>
      <c r="B7" s="5" t="n">
        <v>2820</v>
      </c>
      <c r="C7" s="5" t="n"/>
      <c r="D7" s="5" t="n"/>
      <c r="E7" s="5" t="n"/>
      <c r="F7" s="5" t="n"/>
      <c r="G7" s="5" t="n"/>
    </row>
    <row r="8" ht="16.2" customHeight="1" s="7" thickBot="1">
      <c r="A8" s="5" t="n">
        <v>19.5</v>
      </c>
      <c r="B8" s="5" t="n">
        <v>799000</v>
      </c>
      <c r="C8" s="5" t="n"/>
      <c r="D8" s="5" t="n"/>
      <c r="E8" s="5" t="n"/>
      <c r="F8" s="5" t="n"/>
      <c r="G8" s="5" t="n"/>
    </row>
    <row r="9" ht="16.2" customHeight="1" s="7" thickBot="1">
      <c r="A9" s="5" t="n">
        <v>15</v>
      </c>
      <c r="B9" s="5" t="n">
        <v>2610</v>
      </c>
      <c r="C9" s="5" t="n"/>
      <c r="D9" s="5" t="n"/>
      <c r="E9" s="5" t="n"/>
      <c r="F9" s="5" t="n"/>
      <c r="G9" s="5" t="n"/>
    </row>
    <row r="10" ht="16.2" customHeight="1" s="7" thickBot="1">
      <c r="A10" s="5" t="n">
        <v>10.5</v>
      </c>
      <c r="B10" s="5" t="n">
        <v>2610</v>
      </c>
      <c r="C10" s="5" t="n"/>
      <c r="D10" s="5" t="n"/>
      <c r="E10" s="5" t="n"/>
      <c r="F10" s="5" t="n"/>
      <c r="G10" s="5" t="n"/>
    </row>
    <row r="11" ht="16.2" customHeight="1" s="7" thickBot="1">
      <c r="A11" s="4" t="n">
        <v>6</v>
      </c>
      <c r="B11" s="4" t="n">
        <v>664000</v>
      </c>
      <c r="C11" s="4" t="n"/>
      <c r="D11" s="4" t="n"/>
      <c r="E11" s="4" t="n"/>
      <c r="F11" s="4" t="n"/>
      <c r="G11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2025-07-16T08:31:53Z</dcterms:created>
  <dcterms:modified xsi:type="dcterms:W3CDTF">2025-07-17T02:12:18Z</dcterms:modified>
  <cp:lastModifiedBy>Jh Yang</cp:lastModifiedBy>
</cp:coreProperties>
</file>