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C88BB6B9-4F5C-40EE-A3C7-7D989AC9BE07}" xr6:coauthVersionLast="47" xr6:coauthVersionMax="47" xr10:uidLastSave="{00000000-0000-0000-0000-000000000000}"/>
  <bookViews>
    <workbookView xWindow="-28920" yWindow="-120" windowWidth="29040" windowHeight="16440" activeTab="4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  <sheet name="Sheet2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4" l="1"/>
  <c r="G76" i="4"/>
  <c r="J76" i="4" s="1"/>
  <c r="F76" i="4"/>
  <c r="E76" i="4"/>
  <c r="H76" i="4" s="1"/>
  <c r="G75" i="4"/>
  <c r="J75" i="4" s="1"/>
  <c r="F75" i="4"/>
  <c r="I75" i="4" s="1"/>
  <c r="E75" i="4"/>
  <c r="H75" i="4" s="1"/>
  <c r="H74" i="4"/>
  <c r="G74" i="4"/>
  <c r="J74" i="4" s="1"/>
  <c r="F74" i="4"/>
  <c r="I74" i="4" s="1"/>
  <c r="E74" i="4"/>
  <c r="G73" i="4"/>
  <c r="J73" i="4" s="1"/>
  <c r="F73" i="4"/>
  <c r="I73" i="4" s="1"/>
  <c r="E73" i="4"/>
  <c r="H73" i="4" s="1"/>
  <c r="G72" i="4"/>
  <c r="J72" i="4" s="1"/>
  <c r="F72" i="4"/>
  <c r="I72" i="4" s="1"/>
  <c r="E72" i="4"/>
  <c r="H72" i="4" s="1"/>
  <c r="G71" i="4"/>
  <c r="J71" i="4" s="1"/>
  <c r="F71" i="4"/>
  <c r="I71" i="4" s="1"/>
  <c r="E71" i="4"/>
  <c r="H71" i="4" s="1"/>
  <c r="H70" i="4"/>
  <c r="G70" i="4"/>
  <c r="J70" i="4" s="1"/>
  <c r="F70" i="4"/>
  <c r="I70" i="4" s="1"/>
  <c r="E70" i="4"/>
  <c r="G69" i="4"/>
  <c r="J69" i="4" s="1"/>
  <c r="F69" i="4"/>
  <c r="I69" i="4" s="1"/>
  <c r="E69" i="4"/>
  <c r="H69" i="4" s="1"/>
  <c r="G68" i="4"/>
  <c r="J68" i="4" s="1"/>
  <c r="F68" i="4"/>
  <c r="I68" i="4" s="1"/>
  <c r="E68" i="4"/>
  <c r="H68" i="4" s="1"/>
  <c r="G67" i="4"/>
  <c r="J67" i="4" s="1"/>
  <c r="F67" i="4"/>
  <c r="I67" i="4" s="1"/>
  <c r="E67" i="4"/>
  <c r="H67" i="4" s="1"/>
  <c r="H66" i="4"/>
  <c r="G66" i="4"/>
  <c r="J66" i="4" s="1"/>
  <c r="F66" i="4"/>
  <c r="I66" i="4" s="1"/>
  <c r="E66" i="4"/>
  <c r="G65" i="4"/>
  <c r="J65" i="4" s="1"/>
  <c r="F65" i="4"/>
  <c r="I65" i="4" s="1"/>
  <c r="E65" i="4"/>
  <c r="H65" i="4" s="1"/>
  <c r="G64" i="4"/>
  <c r="J64" i="4" s="1"/>
  <c r="F64" i="4"/>
  <c r="I64" i="4" s="1"/>
  <c r="E64" i="4"/>
  <c r="H64" i="4" s="1"/>
  <c r="G63" i="4"/>
  <c r="J63" i="4" s="1"/>
  <c r="F63" i="4"/>
  <c r="I63" i="4" s="1"/>
  <c r="E63" i="4"/>
  <c r="H63" i="4" s="1"/>
  <c r="H62" i="4"/>
  <c r="G62" i="4"/>
  <c r="J62" i="4" s="1"/>
  <c r="F62" i="4"/>
  <c r="I62" i="4" s="1"/>
  <c r="E62" i="4"/>
  <c r="G61" i="4"/>
  <c r="J61" i="4" s="1"/>
  <c r="F61" i="4"/>
  <c r="I61" i="4" s="1"/>
  <c r="E61" i="4"/>
  <c r="H61" i="4" s="1"/>
  <c r="G60" i="4"/>
  <c r="J60" i="4" s="1"/>
  <c r="F60" i="4"/>
  <c r="I60" i="4" s="1"/>
  <c r="E60" i="4"/>
  <c r="H60" i="4" s="1"/>
  <c r="G59" i="4"/>
  <c r="J59" i="4" s="1"/>
  <c r="F59" i="4"/>
  <c r="I59" i="4" s="1"/>
  <c r="E59" i="4"/>
  <c r="H59" i="4" s="1"/>
  <c r="H58" i="4"/>
  <c r="G58" i="4"/>
  <c r="J58" i="4" s="1"/>
  <c r="F58" i="4"/>
  <c r="I58" i="4" s="1"/>
  <c r="E58" i="4"/>
  <c r="G48" i="4"/>
  <c r="J48" i="4" s="1"/>
  <c r="F48" i="4"/>
  <c r="I48" i="4" s="1"/>
  <c r="E48" i="4"/>
  <c r="H48" i="4" s="1"/>
  <c r="G47" i="4"/>
  <c r="J47" i="4" s="1"/>
  <c r="F47" i="4"/>
  <c r="I47" i="4" s="1"/>
  <c r="E47" i="4"/>
  <c r="H47" i="4" s="1"/>
  <c r="G46" i="4"/>
  <c r="J46" i="4" s="1"/>
  <c r="F46" i="4"/>
  <c r="I46" i="4" s="1"/>
  <c r="E46" i="4"/>
  <c r="H46" i="4" s="1"/>
  <c r="H45" i="4"/>
  <c r="G45" i="4"/>
  <c r="J45" i="4" s="1"/>
  <c r="F45" i="4"/>
  <c r="I45" i="4" s="1"/>
  <c r="E45" i="4"/>
  <c r="G44" i="4"/>
  <c r="J44" i="4" s="1"/>
  <c r="F44" i="4"/>
  <c r="I44" i="4" s="1"/>
  <c r="E44" i="4"/>
  <c r="H44" i="4" s="1"/>
  <c r="G43" i="4"/>
  <c r="J43" i="4" s="1"/>
  <c r="F43" i="4"/>
  <c r="I43" i="4" s="1"/>
  <c r="E43" i="4"/>
  <c r="H43" i="4" s="1"/>
  <c r="G42" i="4"/>
  <c r="J42" i="4" s="1"/>
  <c r="F42" i="4"/>
  <c r="I42" i="4" s="1"/>
  <c r="E42" i="4"/>
  <c r="H42" i="4" s="1"/>
  <c r="H41" i="4"/>
  <c r="G41" i="4"/>
  <c r="J41" i="4" s="1"/>
  <c r="F41" i="4"/>
  <c r="I41" i="4" s="1"/>
  <c r="E41" i="4"/>
  <c r="G40" i="4"/>
  <c r="J40" i="4" s="1"/>
  <c r="F40" i="4"/>
  <c r="I40" i="4" s="1"/>
  <c r="E40" i="4"/>
  <c r="H40" i="4" s="1"/>
  <c r="G39" i="4"/>
  <c r="J39" i="4" s="1"/>
  <c r="F39" i="4"/>
  <c r="I39" i="4" s="1"/>
  <c r="E39" i="4"/>
  <c r="H39" i="4" s="1"/>
  <c r="G38" i="4"/>
  <c r="J38" i="4" s="1"/>
  <c r="F38" i="4"/>
  <c r="I38" i="4" s="1"/>
  <c r="E38" i="4"/>
  <c r="H38" i="4" s="1"/>
  <c r="H37" i="4"/>
  <c r="G37" i="4"/>
  <c r="J37" i="4" s="1"/>
  <c r="F37" i="4"/>
  <c r="I37" i="4" s="1"/>
  <c r="E37" i="4"/>
  <c r="G36" i="4"/>
  <c r="J36" i="4" s="1"/>
  <c r="F36" i="4"/>
  <c r="I36" i="4" s="1"/>
  <c r="E36" i="4"/>
  <c r="H36" i="4" s="1"/>
  <c r="G35" i="4"/>
  <c r="J35" i="4" s="1"/>
  <c r="F35" i="4"/>
  <c r="I35" i="4" s="1"/>
  <c r="E35" i="4"/>
  <c r="H35" i="4" s="1"/>
  <c r="G34" i="4"/>
  <c r="J34" i="4" s="1"/>
  <c r="F34" i="4"/>
  <c r="I34" i="4" s="1"/>
  <c r="E34" i="4"/>
  <c r="H34" i="4" s="1"/>
  <c r="H33" i="4"/>
  <c r="G33" i="4"/>
  <c r="J33" i="4" s="1"/>
  <c r="F33" i="4"/>
  <c r="I33" i="4" s="1"/>
  <c r="E33" i="4"/>
  <c r="G32" i="4"/>
  <c r="J32" i="4" s="1"/>
  <c r="F32" i="4"/>
  <c r="I32" i="4" s="1"/>
  <c r="E32" i="4"/>
  <c r="H32" i="4" s="1"/>
  <c r="G31" i="4"/>
  <c r="J31" i="4" s="1"/>
  <c r="F31" i="4"/>
  <c r="I31" i="4" s="1"/>
  <c r="E31" i="4"/>
  <c r="H31" i="4" s="1"/>
  <c r="G30" i="4"/>
  <c r="J30" i="4" s="1"/>
  <c r="F30" i="4"/>
  <c r="I30" i="4" s="1"/>
  <c r="E30" i="4"/>
  <c r="H30" i="4" s="1"/>
  <c r="H14" i="4"/>
  <c r="G14" i="4"/>
  <c r="J14" i="4" s="1"/>
  <c r="F14" i="4"/>
  <c r="I14" i="4" s="1"/>
  <c r="E14" i="4"/>
  <c r="G13" i="4"/>
  <c r="J13" i="4" s="1"/>
  <c r="F13" i="4"/>
  <c r="I13" i="4" s="1"/>
  <c r="E13" i="4"/>
  <c r="H13" i="4" s="1"/>
  <c r="G12" i="4"/>
  <c r="J12" i="4" s="1"/>
  <c r="F12" i="4"/>
  <c r="I12" i="4" s="1"/>
  <c r="E12" i="4"/>
  <c r="H12" i="4" s="1"/>
  <c r="G11" i="4"/>
  <c r="J11" i="4" s="1"/>
  <c r="F11" i="4"/>
  <c r="I11" i="4" s="1"/>
  <c r="E11" i="4"/>
  <c r="H11" i="4" s="1"/>
  <c r="H10" i="4"/>
  <c r="G10" i="4"/>
  <c r="J10" i="4" s="1"/>
  <c r="F10" i="4"/>
  <c r="I10" i="4" s="1"/>
  <c r="E10" i="4"/>
  <c r="G9" i="4"/>
  <c r="J9" i="4" s="1"/>
  <c r="F9" i="4"/>
  <c r="I9" i="4" s="1"/>
  <c r="E9" i="4"/>
  <c r="H9" i="4" s="1"/>
  <c r="G8" i="4"/>
  <c r="J8" i="4" s="1"/>
  <c r="F8" i="4"/>
  <c r="I8" i="4" s="1"/>
  <c r="E8" i="4"/>
  <c r="H8" i="4" s="1"/>
  <c r="G7" i="4"/>
  <c r="J7" i="4" s="1"/>
  <c r="F7" i="4"/>
  <c r="I7" i="4" s="1"/>
  <c r="E7" i="4"/>
  <c r="H7" i="4" s="1"/>
  <c r="H6" i="4"/>
  <c r="G6" i="4"/>
  <c r="J6" i="4" s="1"/>
  <c r="F6" i="4"/>
  <c r="I6" i="4" s="1"/>
  <c r="E6" i="4"/>
  <c r="G5" i="4"/>
  <c r="J5" i="4" s="1"/>
  <c r="F5" i="4"/>
  <c r="I5" i="4" s="1"/>
  <c r="E5" i="4"/>
  <c r="H5" i="4" s="1"/>
</calcChain>
</file>

<file path=xl/sharedStrings.xml><?xml version="1.0" encoding="utf-8"?>
<sst xmlns="http://schemas.openxmlformats.org/spreadsheetml/2006/main" count="154" uniqueCount="104">
  <si>
    <t>folder</t>
  </si>
  <si>
    <t>angle</t>
  </si>
  <si>
    <t>P195_UX_extreme</t>
  </si>
  <si>
    <t>P195_UY_extreme</t>
  </si>
  <si>
    <t>P195_range_2D_extreme</t>
  </si>
  <si>
    <t>P54000062_UX_extreme</t>
  </si>
  <si>
    <t>P54000062_UY_extreme</t>
  </si>
  <si>
    <t>P54000062_range_2D_extreme</t>
  </si>
  <si>
    <t>P54000070_UX_extreme</t>
  </si>
  <si>
    <t>P54000070_UY_extreme</t>
  </si>
  <si>
    <t>P54000070_range_2D_extreme</t>
  </si>
  <si>
    <t>P54000071_UX_extreme</t>
  </si>
  <si>
    <t>P54000071_UY_extreme</t>
  </si>
  <si>
    <t>P54000071_range_2D_extreme</t>
  </si>
  <si>
    <t>P54000079_UX_extreme</t>
  </si>
  <si>
    <t>P54000079_UY_extreme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</si>
  <si>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</si>
  <si>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</si>
  <si>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</si>
  <si>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</si>
  <si>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</si>
  <si>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</si>
  <si>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</si>
  <si>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</si>
  <si>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</si>
  <si>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</si>
  <si>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</si>
  <si>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P285_UX_extreme</t>
  </si>
  <si>
    <t>P285_UY_extreme</t>
  </si>
  <si>
    <t>P285_range_2D_extreme</t>
  </si>
  <si>
    <t>P54000047_UX_extreme</t>
  </si>
  <si>
    <t>P54000047_UY_extreme</t>
  </si>
  <si>
    <t>P54000047_range_2D_extreme</t>
  </si>
  <si>
    <t>P54000050_UX_extreme</t>
  </si>
  <si>
    <t>P54000050_UY_extreme</t>
  </si>
  <si>
    <t>P54000050_range_2D_extreme</t>
  </si>
  <si>
    <t>P54000059_UX_extreme</t>
  </si>
  <si>
    <t>P54000059_UY_extreme</t>
  </si>
  <si>
    <t>P54000059_range_2D_extreme</t>
  </si>
  <si>
    <t>P54000058_UX_extreme</t>
  </si>
  <si>
    <t>P54000058_UY_extreme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</si>
  <si>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</si>
  <si>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</si>
  <si>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</si>
  <si>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</si>
  <si>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</si>
  <si>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</si>
  <si>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</si>
  <si>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</si>
  <si>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</si>
  <si>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</si>
  <si>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</si>
  <si>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</si>
  <si>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</si>
  <si>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</si>
  <si>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</si>
  <si>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</si>
  <si>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</si>
  <si>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</si>
  <si>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</si>
  <si>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</si>
  <si>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</si>
  <si>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</si>
  <si>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P378_range_2D_extreme</t>
  </si>
  <si>
    <t>P54000060_UX_extreme</t>
  </si>
  <si>
    <t>P54000060_UY_extreme</t>
  </si>
  <si>
    <t>P54000060_range_2D_extreme</t>
  </si>
  <si>
    <t>P54000066_UX_extreme</t>
  </si>
  <si>
    <t>P54000066_UY_extreme</t>
  </si>
  <si>
    <t>P54000066_range_2D_extreme</t>
  </si>
  <si>
    <t>P54000067_UX_extreme</t>
  </si>
  <si>
    <t>P54000067_UY_extreme</t>
  </si>
  <si>
    <t>P54000067_range_2D_extreme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</si>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</sst>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charset val="134"/>
    </font>
    <font>
      <b/>
      <sz val="11"/>
      <name val="宋体"/>
      <charset val="134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  <xf numFmtId="11" fontId="0" fillId="0" borderId="0" xfId="0" applyNumberFormat="1"/>
    <xf numFmtId="11" fontId="4" fillId="0" borderId="4" xfId="0" applyNumberFormat="1" applyFont="1" applyBorder="1" applyAlignment="1">
      <alignment vertical="center" wrapText="1"/>
    </xf>
    <xf numFmtId="11" fontId="4" fillId="0" borderId="6" xfId="0" applyNumberFormat="1" applyFont="1" applyBorder="1" applyAlignment="1">
      <alignment vertical="center" wrapText="1"/>
    </xf>
    <xf numFmtId="11" fontId="4" fillId="0" borderId="3" xfId="0" applyNumberFormat="1" applyFont="1" applyBorder="1" applyAlignment="1">
      <alignment vertical="center" wrapText="1"/>
    </xf>
    <xf numFmtId="11" fontId="4" fillId="0" borderId="5" xfId="0" applyNumberFormat="1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'1-1_Acceleration'!$C$2:$C$11</c:f>
              <c:numCache>
                <c:formatCode>General</c:formatCode>
                <c:ptCount val="10"/>
                <c:pt idx="0">
                  <c:v>6.4510000000000012E-2</c:v>
                </c:pt>
                <c:pt idx="1">
                  <c:v>6.4649999999999999E-2</c:v>
                </c:pt>
                <c:pt idx="2">
                  <c:v>5.4429999999999999E-2</c:v>
                </c:pt>
                <c:pt idx="3">
                  <c:v>5.9389999999999998E-2</c:v>
                </c:pt>
                <c:pt idx="4">
                  <c:v>5.0049999999999997E-2</c:v>
                </c:pt>
                <c:pt idx="5">
                  <c:v>5.1060000000000001E-2</c:v>
                </c:pt>
                <c:pt idx="6">
                  <c:v>5.0209999999999998E-2</c:v>
                </c:pt>
                <c:pt idx="7">
                  <c:v>5.6390000000000003E-2</c:v>
                </c:pt>
                <c:pt idx="8">
                  <c:v>5.62E-2</c:v>
                </c:pt>
                <c:pt idx="9">
                  <c:v>5.4200000000000012E-2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9B-408F-AC66-119D73929DD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'1-1_Acceleration'!$D$2:$D$11</c:f>
              <c:numCache>
                <c:formatCode>General</c:formatCode>
                <c:ptCount val="10"/>
                <c:pt idx="0">
                  <c:v>0.12007</c:v>
                </c:pt>
                <c:pt idx="1">
                  <c:v>0.13833999999999999</c:v>
                </c:pt>
                <c:pt idx="2">
                  <c:v>0.12645000000000001</c:v>
                </c:pt>
                <c:pt idx="3">
                  <c:v>0.11321000000000001</c:v>
                </c:pt>
                <c:pt idx="4">
                  <c:v>9.5060000000000006E-2</c:v>
                </c:pt>
                <c:pt idx="5">
                  <c:v>7.7900000000000011E-2</c:v>
                </c:pt>
                <c:pt idx="6">
                  <c:v>7.8060000000000004E-2</c:v>
                </c:pt>
                <c:pt idx="7">
                  <c:v>6.9739999999999996E-2</c:v>
                </c:pt>
                <c:pt idx="8">
                  <c:v>6.2109999999999999E-2</c:v>
                </c:pt>
                <c:pt idx="9">
                  <c:v>6.1969999999999997E-2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9B-408F-AC66-119D73929DD6}"/>
            </c:ext>
          </c:extLst>
        </c:ser>
        <c:ser>
          <c:idx val="2"/>
          <c:order val="2"/>
          <c:tx>
            <c:strRef>
              <c:f>'1-1_Acceleration'!$C$13</c:f>
              <c:strCache>
                <c:ptCount val="1"/>
                <c:pt idx="0">
                  <c:v>P54000071_range_2D_extreme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'1-1_Acceleration'!$C$14:$C$23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0.14582000000000001</c:v>
                </c:pt>
                <c:pt idx="2">
                  <c:v>0.13320000000000001</c:v>
                </c:pt>
                <c:pt idx="3">
                  <c:v>0.11928999999999999</c:v>
                </c:pt>
                <c:pt idx="4">
                  <c:v>0.10031</c:v>
                </c:pt>
                <c:pt idx="5">
                  <c:v>8.2430000000000003E-2</c:v>
                </c:pt>
                <c:pt idx="6">
                  <c:v>8.2450000000000009E-2</c:v>
                </c:pt>
                <c:pt idx="7">
                  <c:v>7.392E-2</c:v>
                </c:pt>
                <c:pt idx="8">
                  <c:v>6.8790000000000004E-2</c:v>
                </c:pt>
                <c:pt idx="9">
                  <c:v>6.7519999999999997E-2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9B-408F-AC66-119D73929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965464"/>
        <c:axId val="805963664"/>
      </c:lineChart>
      <c:catAx>
        <c:axId val="805965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3664"/>
        <c:crosses val="autoZero"/>
        <c:auto val="1"/>
        <c:lblAlgn val="ctr"/>
        <c:lblOffset val="100"/>
        <c:noMultiLvlLbl val="0"/>
      </c:catAx>
      <c:valAx>
        <c:axId val="80596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5965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'2-1_Acceleration'!$C$2:$C$20</c:f>
              <c:numCache>
                <c:formatCode>General</c:formatCode>
                <c:ptCount val="19"/>
                <c:pt idx="0">
                  <c:v>8.0399999999999999E-2</c:v>
                </c:pt>
                <c:pt idx="1">
                  <c:v>6.8069999999999992E-2</c:v>
                </c:pt>
                <c:pt idx="2">
                  <c:v>8.3290000000000003E-2</c:v>
                </c:pt>
                <c:pt idx="3">
                  <c:v>6.7720000000000002E-2</c:v>
                </c:pt>
                <c:pt idx="4">
                  <c:v>7.2819999999999996E-2</c:v>
                </c:pt>
                <c:pt idx="5">
                  <c:v>5.9909999999999998E-2</c:v>
                </c:pt>
                <c:pt idx="6">
                  <c:v>5.7419999999999999E-2</c:v>
                </c:pt>
                <c:pt idx="7">
                  <c:v>5.2159999999999998E-2</c:v>
                </c:pt>
                <c:pt idx="8">
                  <c:v>4.8460000000000003E-2</c:v>
                </c:pt>
                <c:pt idx="9">
                  <c:v>4.9889999999999997E-2</c:v>
                </c:pt>
                <c:pt idx="10">
                  <c:v>5.6550000000000003E-2</c:v>
                </c:pt>
                <c:pt idx="11">
                  <c:v>5.917E-2</c:v>
                </c:pt>
                <c:pt idx="12">
                  <c:v>6.522E-2</c:v>
                </c:pt>
                <c:pt idx="13">
                  <c:v>6.4890000000000003E-2</c:v>
                </c:pt>
                <c:pt idx="14">
                  <c:v>6.0859999999999997E-2</c:v>
                </c:pt>
                <c:pt idx="15">
                  <c:v>7.51E-2</c:v>
                </c:pt>
                <c:pt idx="16">
                  <c:v>7.9430000000000001E-2</c:v>
                </c:pt>
                <c:pt idx="17">
                  <c:v>8.1009999999999999E-2</c:v>
                </c:pt>
                <c:pt idx="18">
                  <c:v>8.4610000000000005E-2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F-413F-B521-6F5B40C574D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'2-1_Acceleration'!$D$2:$D$20</c:f>
              <c:numCache>
                <c:formatCode>General</c:formatCode>
                <c:ptCount val="19"/>
                <c:pt idx="0">
                  <c:v>5.9330000000000001E-2</c:v>
                </c:pt>
                <c:pt idx="1">
                  <c:v>6.0400000000000002E-2</c:v>
                </c:pt>
                <c:pt idx="2">
                  <c:v>6.0840000000000012E-2</c:v>
                </c:pt>
                <c:pt idx="3">
                  <c:v>5.8270000000000002E-2</c:v>
                </c:pt>
                <c:pt idx="4">
                  <c:v>5.4710000000000002E-2</c:v>
                </c:pt>
                <c:pt idx="5">
                  <c:v>4.9709999999999997E-2</c:v>
                </c:pt>
                <c:pt idx="6">
                  <c:v>4.4650000000000002E-2</c:v>
                </c:pt>
                <c:pt idx="7">
                  <c:v>3.3939999999999998E-2</c:v>
                </c:pt>
                <c:pt idx="8">
                  <c:v>3.3250000000000002E-2</c:v>
                </c:pt>
                <c:pt idx="9">
                  <c:v>3.177E-2</c:v>
                </c:pt>
                <c:pt idx="10">
                  <c:v>2.7689999999999999E-2</c:v>
                </c:pt>
                <c:pt idx="11">
                  <c:v>2.699E-2</c:v>
                </c:pt>
                <c:pt idx="12">
                  <c:v>2.8320000000000001E-2</c:v>
                </c:pt>
                <c:pt idx="13">
                  <c:v>2.6579999999999999E-2</c:v>
                </c:pt>
                <c:pt idx="14">
                  <c:v>2.7050000000000001E-2</c:v>
                </c:pt>
                <c:pt idx="15">
                  <c:v>2.9239999999999999E-2</c:v>
                </c:pt>
                <c:pt idx="16">
                  <c:v>3.3660000000000002E-2</c:v>
                </c:pt>
                <c:pt idx="17">
                  <c:v>3.6679999999999997E-2</c:v>
                </c:pt>
                <c:pt idx="18">
                  <c:v>3.7580000000000002E-2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EF-413F-B521-6F5B40C574D2}"/>
            </c:ext>
          </c:extLst>
        </c:ser>
        <c:ser>
          <c:idx val="2"/>
          <c:order val="2"/>
          <c:tx>
            <c:strRef>
              <c:f>'2-1_Acceleration'!$C$22</c:f>
              <c:strCache>
                <c:ptCount val="1"/>
                <c:pt idx="0">
                  <c:v>P54000059_range_2D_extreme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'2-1_Acceleration'!$C$23:$C$41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EF-413F-B521-6F5B40C57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920952"/>
        <c:axId val="651921312"/>
      </c:lineChart>
      <c:catAx>
        <c:axId val="651920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1312"/>
        <c:crosses val="autoZero"/>
        <c:auto val="1"/>
        <c:lblAlgn val="ctr"/>
        <c:lblOffset val="100"/>
        <c:noMultiLvlLbl val="0"/>
      </c:catAx>
      <c:valAx>
        <c:axId val="65192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1920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'3-1_Acceleration'!$C$2:$C$20</c:f>
              <c:numCache>
                <c:formatCode>General</c:formatCode>
                <c:ptCount val="19"/>
                <c:pt idx="0">
                  <c:v>6.6979999999999998E-2</c:v>
                </c:pt>
                <c:pt idx="1">
                  <c:v>6.4310000000000006E-2</c:v>
                </c:pt>
                <c:pt idx="2">
                  <c:v>6.3899999999999998E-2</c:v>
                </c:pt>
                <c:pt idx="3">
                  <c:v>6.4640000000000003E-2</c:v>
                </c:pt>
                <c:pt idx="4">
                  <c:v>6.0150000000000002E-2</c:v>
                </c:pt>
                <c:pt idx="5">
                  <c:v>4.6510000000000003E-2</c:v>
                </c:pt>
                <c:pt idx="6">
                  <c:v>4.6940000000000003E-2</c:v>
                </c:pt>
                <c:pt idx="7">
                  <c:v>4.4760000000000001E-2</c:v>
                </c:pt>
                <c:pt idx="8">
                  <c:v>4.5229999999999999E-2</c:v>
                </c:pt>
                <c:pt idx="9">
                  <c:v>4.9849999999999998E-2</c:v>
                </c:pt>
                <c:pt idx="10">
                  <c:v>4.3619999999999999E-2</c:v>
                </c:pt>
                <c:pt idx="11">
                  <c:v>4.3950000000000003E-2</c:v>
                </c:pt>
                <c:pt idx="12">
                  <c:v>4.2360000000000002E-2</c:v>
                </c:pt>
                <c:pt idx="13">
                  <c:v>4.8340000000000001E-2</c:v>
                </c:pt>
                <c:pt idx="14">
                  <c:v>5.2069999999999998E-2</c:v>
                </c:pt>
                <c:pt idx="15">
                  <c:v>5.9139999999999998E-2</c:v>
                </c:pt>
                <c:pt idx="16">
                  <c:v>6.0260000000000001E-2</c:v>
                </c:pt>
                <c:pt idx="17">
                  <c:v>6.497E-2</c:v>
                </c:pt>
                <c:pt idx="18">
                  <c:v>7.3230000000000003E-2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A-4CD4-A075-F19224C190C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'3-1_Acceleration'!$D$2:$D$20</c:f>
              <c:numCache>
                <c:formatCode>General</c:formatCode>
                <c:ptCount val="19"/>
                <c:pt idx="0">
                  <c:v>3.3529999999999997E-2</c:v>
                </c:pt>
                <c:pt idx="1">
                  <c:v>3.5770000000000003E-2</c:v>
                </c:pt>
                <c:pt idx="2">
                  <c:v>3.5720000000000002E-2</c:v>
                </c:pt>
                <c:pt idx="3">
                  <c:v>3.6470000000000002E-2</c:v>
                </c:pt>
                <c:pt idx="4">
                  <c:v>3.6859999999999997E-2</c:v>
                </c:pt>
                <c:pt idx="5">
                  <c:v>3.1640000000000001E-2</c:v>
                </c:pt>
                <c:pt idx="6">
                  <c:v>2.6450000000000001E-2</c:v>
                </c:pt>
                <c:pt idx="7">
                  <c:v>2.3120000000000002E-2</c:v>
                </c:pt>
                <c:pt idx="8">
                  <c:v>1.9740000000000001E-2</c:v>
                </c:pt>
                <c:pt idx="9">
                  <c:v>1.9130000000000001E-2</c:v>
                </c:pt>
                <c:pt idx="10">
                  <c:v>1.7409999999999998E-2</c:v>
                </c:pt>
                <c:pt idx="11">
                  <c:v>1.6480000000000002E-2</c:v>
                </c:pt>
                <c:pt idx="12">
                  <c:v>1.6750000000000001E-2</c:v>
                </c:pt>
                <c:pt idx="13">
                  <c:v>1.7000000000000001E-2</c:v>
                </c:pt>
                <c:pt idx="14">
                  <c:v>1.6049999999999998E-2</c:v>
                </c:pt>
                <c:pt idx="15">
                  <c:v>1.66E-2</c:v>
                </c:pt>
                <c:pt idx="16">
                  <c:v>1.7229999999999999E-2</c:v>
                </c:pt>
                <c:pt idx="17">
                  <c:v>1.899E-2</c:v>
                </c:pt>
                <c:pt idx="18">
                  <c:v>1.932E-2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A-4CD4-A075-F19224C190C7}"/>
            </c:ext>
          </c:extLst>
        </c:ser>
        <c:ser>
          <c:idx val="2"/>
          <c:order val="2"/>
          <c:tx>
            <c:strRef>
              <c:f>'3-1_Acceleration'!$C$22</c:f>
              <c:strCache>
                <c:ptCount val="1"/>
                <c:pt idx="0">
                  <c:v>P54000067_range_2D_extreme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'3-1_Acceleration'!$C$23:$C$41</c:f>
              <c:numCache>
                <c:formatCode>General</c:formatCode>
                <c:ptCount val="19"/>
                <c:pt idx="0">
                  <c:v>6.8030000000000007E-2</c:v>
                </c:pt>
                <c:pt idx="1">
                  <c:v>6.5519999999999995E-2</c:v>
                </c:pt>
                <c:pt idx="2">
                  <c:v>6.4909999999999995E-2</c:v>
                </c:pt>
                <c:pt idx="3">
                  <c:v>6.5619999999999998E-2</c:v>
                </c:pt>
                <c:pt idx="4">
                  <c:v>6.1400000000000003E-2</c:v>
                </c:pt>
                <c:pt idx="5">
                  <c:v>4.9689999999999998E-2</c:v>
                </c:pt>
                <c:pt idx="6">
                  <c:v>4.7659999999999987E-2</c:v>
                </c:pt>
                <c:pt idx="7">
                  <c:v>4.5439999999999987E-2</c:v>
                </c:pt>
                <c:pt idx="8">
                  <c:v>4.5840000000000013E-2</c:v>
                </c:pt>
                <c:pt idx="9">
                  <c:v>5.0500000000000003E-2</c:v>
                </c:pt>
                <c:pt idx="10">
                  <c:v>4.4150000000000002E-2</c:v>
                </c:pt>
                <c:pt idx="11">
                  <c:v>4.4429999999999997E-2</c:v>
                </c:pt>
                <c:pt idx="12">
                  <c:v>4.2869999999999998E-2</c:v>
                </c:pt>
                <c:pt idx="13">
                  <c:v>4.8920000000000012E-2</c:v>
                </c:pt>
                <c:pt idx="14">
                  <c:v>5.2749999999999998E-2</c:v>
                </c:pt>
                <c:pt idx="15">
                  <c:v>5.9929999999999997E-2</c:v>
                </c:pt>
                <c:pt idx="16">
                  <c:v>6.1069999999999999E-2</c:v>
                </c:pt>
                <c:pt idx="17">
                  <c:v>6.5909999999999996E-2</c:v>
                </c:pt>
                <c:pt idx="18">
                  <c:v>7.4189999999999992E-2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AA-4CD4-A075-F19224C19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7422168"/>
        <c:axId val="656704936"/>
      </c:lineChart>
      <c:catAx>
        <c:axId val="667422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704936"/>
        <c:crosses val="autoZero"/>
        <c:auto val="1"/>
        <c:lblAlgn val="ctr"/>
        <c:lblOffset val="100"/>
        <c:noMultiLvlLbl val="0"/>
      </c:catAx>
      <c:valAx>
        <c:axId val="656704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422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6.473000000000001E-2</c:v>
                </c:pt>
                <c:pt idx="1">
                  <c:v>6.5329999999999999E-2</c:v>
                </c:pt>
                <c:pt idx="2">
                  <c:v>5.5469999999999998E-2</c:v>
                </c:pt>
                <c:pt idx="3">
                  <c:v>6.0409999999999998E-2</c:v>
                </c:pt>
                <c:pt idx="4">
                  <c:v>5.0700000000000002E-2</c:v>
                </c:pt>
                <c:pt idx="5">
                  <c:v>5.1580000000000001E-2</c:v>
                </c:pt>
                <c:pt idx="6">
                  <c:v>5.0549999999999998E-2</c:v>
                </c:pt>
                <c:pt idx="7">
                  <c:v>5.6030000000000003E-2</c:v>
                </c:pt>
                <c:pt idx="8">
                  <c:v>5.5390000000000002E-2</c:v>
                </c:pt>
                <c:pt idx="9">
                  <c:v>5.3330000000000002E-2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DA-4E0B-8F85-B3CAD1735300}"/>
            </c:ext>
          </c:extLst>
        </c:ser>
        <c:ser>
          <c:idx val="1"/>
          <c:order val="1"/>
          <c:tx>
            <c:strRef>
              <c:f>结果对比!$F$4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0.12651000000000001</c:v>
                </c:pt>
                <c:pt idx="1">
                  <c:v>0.14549999999999999</c:v>
                </c:pt>
                <c:pt idx="2">
                  <c:v>0.13295999999999999</c:v>
                </c:pt>
                <c:pt idx="3">
                  <c:v>0.11895</c:v>
                </c:pt>
                <c:pt idx="4">
                  <c:v>9.9890000000000007E-2</c:v>
                </c:pt>
                <c:pt idx="5">
                  <c:v>8.2049999999999998E-2</c:v>
                </c:pt>
                <c:pt idx="6">
                  <c:v>8.2180000000000003E-2</c:v>
                </c:pt>
                <c:pt idx="7">
                  <c:v>7.331E-2</c:v>
                </c:pt>
                <c:pt idx="8">
                  <c:v>6.5790000000000001E-2</c:v>
                </c:pt>
                <c:pt idx="9">
                  <c:v>6.5420000000000006E-2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DA-4E0B-8F85-B3CAD1735300}"/>
            </c:ext>
          </c:extLst>
        </c:ser>
        <c:ser>
          <c:idx val="2"/>
          <c:order val="2"/>
          <c:tx>
            <c:strRef>
              <c:f>结果对比!$G$4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0.14582000000000001</c:v>
                </c:pt>
                <c:pt idx="2">
                  <c:v>0.13320000000000001</c:v>
                </c:pt>
                <c:pt idx="3">
                  <c:v>0.11928999999999999</c:v>
                </c:pt>
                <c:pt idx="4">
                  <c:v>0.10031</c:v>
                </c:pt>
                <c:pt idx="5">
                  <c:v>8.2430000000000003E-2</c:v>
                </c:pt>
                <c:pt idx="6">
                  <c:v>8.2450000000000009E-2</c:v>
                </c:pt>
                <c:pt idx="7">
                  <c:v>7.392E-2</c:v>
                </c:pt>
                <c:pt idx="8">
                  <c:v>6.8790000000000004E-2</c:v>
                </c:pt>
                <c:pt idx="9">
                  <c:v>6.7519999999999997E-2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DA-4E0B-8F85-B3CAD1735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487208"/>
        <c:axId val="694487928"/>
      </c:lineChart>
      <c:catAx>
        <c:axId val="694487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928"/>
        <c:crosses val="autoZero"/>
        <c:auto val="1"/>
        <c:lblAlgn val="ctr"/>
        <c:lblOffset val="100"/>
        <c:noMultiLvlLbl val="0"/>
      </c:catAx>
      <c:valAx>
        <c:axId val="694487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4872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结果对比!$B$4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结果对比!$B$5:$B$14</c:f>
              <c:numCache>
                <c:formatCode>General</c:formatCode>
                <c:ptCount val="10"/>
                <c:pt idx="0">
                  <c:v>0.14461754225656301</c:v>
                </c:pt>
                <c:pt idx="1">
                  <c:v>0.14574383059780099</c:v>
                </c:pt>
                <c:pt idx="2">
                  <c:v>0.123218319821101</c:v>
                </c:pt>
                <c:pt idx="3">
                  <c:v>0.119190932832967</c:v>
                </c:pt>
                <c:pt idx="4">
                  <c:v>0.105740550632465</c:v>
                </c:pt>
                <c:pt idx="5">
                  <c:v>0.113151330133636</c:v>
                </c:pt>
                <c:pt idx="6">
                  <c:v>0.10481180814546701</c:v>
                </c:pt>
                <c:pt idx="7">
                  <c:v>0.11044656620889901</c:v>
                </c:pt>
                <c:pt idx="8">
                  <c:v>0.102752485148652</c:v>
                </c:pt>
                <c:pt idx="9">
                  <c:v>9.72536592135958E-2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1-4A18-B28E-8A38F84C9950}"/>
            </c:ext>
          </c:extLst>
        </c:ser>
        <c:ser>
          <c:idx val="1"/>
          <c:order val="1"/>
          <c:tx>
            <c:strRef>
              <c:f>结果对比!$C$4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结果对比!$C$5:$C$14</c:f>
              <c:numCache>
                <c:formatCode>General</c:formatCode>
                <c:ptCount val="10"/>
                <c:pt idx="0">
                  <c:v>0.22422937900353401</c:v>
                </c:pt>
                <c:pt idx="1">
                  <c:v>0.23891485265779699</c:v>
                </c:pt>
                <c:pt idx="2">
                  <c:v>0.195550423711429</c:v>
                </c:pt>
                <c:pt idx="3">
                  <c:v>0.19996638206058301</c:v>
                </c:pt>
                <c:pt idx="4">
                  <c:v>0.14722937110335699</c:v>
                </c:pt>
                <c:pt idx="5">
                  <c:v>0.11653426316692</c:v>
                </c:pt>
                <c:pt idx="6">
                  <c:v>0.12734449340182</c:v>
                </c:pt>
                <c:pt idx="7">
                  <c:v>0.114415712852866</c:v>
                </c:pt>
                <c:pt idx="8">
                  <c:v>9.6404404302761398E-2</c:v>
                </c:pt>
                <c:pt idx="9">
                  <c:v>0.10631356936144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41-4A18-B28E-8A38F84C9950}"/>
            </c:ext>
          </c:extLst>
        </c:ser>
        <c:ser>
          <c:idx val="2"/>
          <c:order val="2"/>
          <c:tx>
            <c:strRef>
              <c:f>结果对比!$D$4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结果对比!$D$5:$D$14</c:f>
              <c:numCache>
                <c:formatCode>General</c:formatCode>
                <c:ptCount val="10"/>
                <c:pt idx="0">
                  <c:v>0.22881801939514301</c:v>
                </c:pt>
                <c:pt idx="1">
                  <c:v>0.242018594909096</c:v>
                </c:pt>
                <c:pt idx="2">
                  <c:v>0.19790102555998401</c:v>
                </c:pt>
                <c:pt idx="3">
                  <c:v>0.201287478382664</c:v>
                </c:pt>
                <c:pt idx="4">
                  <c:v>0.150365553159441</c:v>
                </c:pt>
                <c:pt idx="5">
                  <c:v>0.129943884511105</c:v>
                </c:pt>
                <c:pt idx="6">
                  <c:v>0.13194455836051999</c:v>
                </c:pt>
                <c:pt idx="7">
                  <c:v>0.12722112864763599</c:v>
                </c:pt>
                <c:pt idx="8">
                  <c:v>0.112717366536148</c:v>
                </c:pt>
                <c:pt idx="9">
                  <c:v>0.115269005057364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41-4A18-B28E-8A38F84C9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71136"/>
        <c:axId val="694037728"/>
      </c:lineChart>
      <c:catAx>
        <c:axId val="695471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4037728"/>
        <c:crosses val="autoZero"/>
        <c:auto val="1"/>
        <c:lblAlgn val="ctr"/>
        <c:lblOffset val="100"/>
        <c:noMultiLvlLbl val="0"/>
      </c:catAx>
      <c:valAx>
        <c:axId val="6940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711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结果对比!$B$30:$B$48</c:f>
              <c:numCache>
                <c:formatCode>General</c:formatCode>
                <c:ptCount val="19"/>
                <c:pt idx="0">
                  <c:v>0.13223209299999999</c:v>
                </c:pt>
                <c:pt idx="1">
                  <c:v>0.121683868</c:v>
                </c:pt>
                <c:pt idx="2">
                  <c:v>0.12946930800000001</c:v>
                </c:pt>
                <c:pt idx="3">
                  <c:v>0.119927643</c:v>
                </c:pt>
                <c:pt idx="4">
                  <c:v>0.124606461</c:v>
                </c:pt>
                <c:pt idx="5">
                  <c:v>0.10421169700000001</c:v>
                </c:pt>
                <c:pt idx="6">
                  <c:v>9.6632271000000006E-2</c:v>
                </c:pt>
                <c:pt idx="7">
                  <c:v>9.6736048000000005E-2</c:v>
                </c:pt>
                <c:pt idx="8">
                  <c:v>8.3372399999999999E-2</c:v>
                </c:pt>
                <c:pt idx="9">
                  <c:v>8.2268566000000001E-2</c:v>
                </c:pt>
                <c:pt idx="10">
                  <c:v>8.3951696000000006E-2</c:v>
                </c:pt>
                <c:pt idx="11">
                  <c:v>8.8765075999999998E-2</c:v>
                </c:pt>
                <c:pt idx="12">
                  <c:v>8.8701158000000002E-2</c:v>
                </c:pt>
                <c:pt idx="13">
                  <c:v>0.108524897</c:v>
                </c:pt>
                <c:pt idx="14">
                  <c:v>0.102688188</c:v>
                </c:pt>
                <c:pt idx="15">
                  <c:v>0.117323212</c:v>
                </c:pt>
                <c:pt idx="16">
                  <c:v>0.12884901300000001</c:v>
                </c:pt>
                <c:pt idx="17">
                  <c:v>0.17299767199999999</c:v>
                </c:pt>
                <c:pt idx="18">
                  <c:v>0.16496813900000001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6-43E4-8125-328D2F6F43E6}"/>
            </c:ext>
          </c:extLst>
        </c:ser>
        <c:ser>
          <c:idx val="1"/>
          <c:order val="1"/>
          <c:tx>
            <c:strRef>
              <c:f>结果对比!$C$29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结果对比!$C$30:$C$48</c:f>
              <c:numCache>
                <c:formatCode>General</c:formatCode>
                <c:ptCount val="19"/>
                <c:pt idx="0">
                  <c:v>9.5521892999999997E-2</c:v>
                </c:pt>
                <c:pt idx="1">
                  <c:v>9.7854450999999995E-2</c:v>
                </c:pt>
                <c:pt idx="2">
                  <c:v>9.8119680000000001E-2</c:v>
                </c:pt>
                <c:pt idx="3">
                  <c:v>9.0768804999999994E-2</c:v>
                </c:pt>
                <c:pt idx="4">
                  <c:v>9.2318127999999999E-2</c:v>
                </c:pt>
                <c:pt idx="5">
                  <c:v>7.1819293000000006E-2</c:v>
                </c:pt>
                <c:pt idx="6">
                  <c:v>6.6401017000000007E-2</c:v>
                </c:pt>
                <c:pt idx="7">
                  <c:v>5.8162268000000003E-2</c:v>
                </c:pt>
                <c:pt idx="8">
                  <c:v>5.6316040999999997E-2</c:v>
                </c:pt>
                <c:pt idx="9">
                  <c:v>4.9343469000000001E-2</c:v>
                </c:pt>
                <c:pt idx="10">
                  <c:v>5.5538905999999999E-2</c:v>
                </c:pt>
                <c:pt idx="11">
                  <c:v>4.7363952000000001E-2</c:v>
                </c:pt>
                <c:pt idx="12">
                  <c:v>5.1556794000000003E-2</c:v>
                </c:pt>
                <c:pt idx="13">
                  <c:v>5.3694586000000002E-2</c:v>
                </c:pt>
                <c:pt idx="14">
                  <c:v>5.3583073000000002E-2</c:v>
                </c:pt>
                <c:pt idx="15">
                  <c:v>5.9746398999999999E-2</c:v>
                </c:pt>
                <c:pt idx="16">
                  <c:v>6.9169681999999996E-2</c:v>
                </c:pt>
                <c:pt idx="17">
                  <c:v>7.9331409000000006E-2</c:v>
                </c:pt>
                <c:pt idx="18">
                  <c:v>8.6099365999999997E-2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6-43E4-8125-328D2F6F43E6}"/>
            </c:ext>
          </c:extLst>
        </c:ser>
        <c:ser>
          <c:idx val="2"/>
          <c:order val="2"/>
          <c:tx>
            <c:strRef>
              <c:f>结果对比!$D$29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结果对比!$D$30:$D$48</c:f>
              <c:numCache>
                <c:formatCode>General</c:formatCode>
                <c:ptCount val="19"/>
                <c:pt idx="0">
                  <c:v>0.13761963699999999</c:v>
                </c:pt>
                <c:pt idx="1">
                  <c:v>0.12609626900000001</c:v>
                </c:pt>
                <c:pt idx="2">
                  <c:v>0.13483157900000001</c:v>
                </c:pt>
                <c:pt idx="3">
                  <c:v>0.125383893</c:v>
                </c:pt>
                <c:pt idx="4">
                  <c:v>0.12927704000000001</c:v>
                </c:pt>
                <c:pt idx="5">
                  <c:v>0.107871893</c:v>
                </c:pt>
                <c:pt idx="6">
                  <c:v>9.9507069000000004E-2</c:v>
                </c:pt>
                <c:pt idx="7">
                  <c:v>9.8793607000000006E-2</c:v>
                </c:pt>
                <c:pt idx="8">
                  <c:v>8.6108604000000005E-2</c:v>
                </c:pt>
                <c:pt idx="9">
                  <c:v>8.4053220999999997E-2</c:v>
                </c:pt>
                <c:pt idx="10">
                  <c:v>8.6621157000000004E-2</c:v>
                </c:pt>
                <c:pt idx="11">
                  <c:v>9.0717792000000005E-2</c:v>
                </c:pt>
                <c:pt idx="12">
                  <c:v>9.1220534000000006E-2</c:v>
                </c:pt>
                <c:pt idx="13">
                  <c:v>0.111301978</c:v>
                </c:pt>
                <c:pt idx="14">
                  <c:v>0.107157216</c:v>
                </c:pt>
                <c:pt idx="15">
                  <c:v>0.122005851</c:v>
                </c:pt>
                <c:pt idx="16">
                  <c:v>0.135388114</c:v>
                </c:pt>
                <c:pt idx="17">
                  <c:v>0.182908398</c:v>
                </c:pt>
                <c:pt idx="18">
                  <c:v>0.175746287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6-43E4-8125-328D2F6F4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3272"/>
        <c:axId val="739897592"/>
      </c:lineChart>
      <c:catAx>
        <c:axId val="739893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592"/>
        <c:crosses val="autoZero"/>
        <c:auto val="1"/>
        <c:lblAlgn val="ctr"/>
        <c:lblOffset val="100"/>
        <c:noMultiLvlLbl val="0"/>
      </c:catAx>
      <c:valAx>
        <c:axId val="7398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327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结果对比!$E$29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7.3319999999999996E-2</c:v>
                </c:pt>
                <c:pt idx="4">
                  <c:v>7.887000000000001E-2</c:v>
                </c:pt>
                <c:pt idx="5">
                  <c:v>6.4899999999999999E-2</c:v>
                </c:pt>
                <c:pt idx="6">
                  <c:v>6.2270000000000013E-2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6.1100000000000002E-2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8.1140000000000004E-2</c:v>
                </c:pt>
                <c:pt idx="16">
                  <c:v>8.5720000000000005E-2</c:v>
                </c:pt>
                <c:pt idx="17">
                  <c:v>8.7459999999999996E-2</c:v>
                </c:pt>
                <c:pt idx="18">
                  <c:v>9.126999999999999E-2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EB-499A-8BB3-9AA5460EC256}"/>
            </c:ext>
          </c:extLst>
        </c:ser>
        <c:ser>
          <c:idx val="1"/>
          <c:order val="1"/>
          <c:tx>
            <c:strRef>
              <c:f>结果对比!$F$29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7.1169999999999997E-2</c:v>
                </c:pt>
                <c:pt idx="3">
                  <c:v>6.7080000000000001E-2</c:v>
                </c:pt>
                <c:pt idx="4">
                  <c:v>6.2869999999999995E-2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3.9409999999999987E-2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3.0939999999999999E-2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EB-499A-8BB3-9AA5460EC256}"/>
            </c:ext>
          </c:extLst>
        </c:ser>
        <c:ser>
          <c:idx val="2"/>
          <c:order val="2"/>
          <c:tx>
            <c:strRef>
              <c:f>结果对比!$G$29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EB-499A-8BB3-9AA5460EC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79592"/>
        <c:axId val="739880672"/>
      </c:lineChart>
      <c:catAx>
        <c:axId val="739879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80672"/>
        <c:crosses val="autoZero"/>
        <c:auto val="1"/>
        <c:lblAlgn val="ctr"/>
        <c:lblOffset val="100"/>
        <c:noMultiLvlLbl val="0"/>
      </c:catAx>
      <c:valAx>
        <c:axId val="7398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795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MATLAB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结果对比!$B$57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结果对比!$B$58:$B$76</c:f>
              <c:numCache>
                <c:formatCode>General</c:formatCode>
                <c:ptCount val="19"/>
                <c:pt idx="0">
                  <c:v>0.131909159254782</c:v>
                </c:pt>
                <c:pt idx="1">
                  <c:v>0.12898370366826101</c:v>
                </c:pt>
                <c:pt idx="2">
                  <c:v>0.118551883928231</c:v>
                </c:pt>
                <c:pt idx="3">
                  <c:v>0.12546483785543</c:v>
                </c:pt>
                <c:pt idx="4">
                  <c:v>0.109851110046099</c:v>
                </c:pt>
                <c:pt idx="5">
                  <c:v>0.103682403408451</c:v>
                </c:pt>
                <c:pt idx="6">
                  <c:v>9.5155221765517495E-2</c:v>
                </c:pt>
                <c:pt idx="7">
                  <c:v>9.6461739738963298E-2</c:v>
                </c:pt>
                <c:pt idx="8">
                  <c:v>8.6638852201837396E-2</c:v>
                </c:pt>
                <c:pt idx="9">
                  <c:v>8.3705154307353202E-2</c:v>
                </c:pt>
                <c:pt idx="10">
                  <c:v>7.7279307898750899E-2</c:v>
                </c:pt>
                <c:pt idx="11">
                  <c:v>8.5003022373929496E-2</c:v>
                </c:pt>
                <c:pt idx="12">
                  <c:v>8.4245058862609107E-2</c:v>
                </c:pt>
                <c:pt idx="13">
                  <c:v>8.8504795253157895E-2</c:v>
                </c:pt>
                <c:pt idx="14">
                  <c:v>8.61500564074833E-2</c:v>
                </c:pt>
                <c:pt idx="15">
                  <c:v>9.81709786644379E-2</c:v>
                </c:pt>
                <c:pt idx="16">
                  <c:v>0.118880303918294</c:v>
                </c:pt>
                <c:pt idx="17">
                  <c:v>0.110334335989004</c:v>
                </c:pt>
                <c:pt idx="18">
                  <c:v>0.12877187494522599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CA-466C-AFD8-7A0DB49171DD}"/>
            </c:ext>
          </c:extLst>
        </c:ser>
        <c:ser>
          <c:idx val="1"/>
          <c:order val="1"/>
          <c:tx>
            <c:strRef>
              <c:f>结果对比!$C$57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结果对比!$C$58:$C$76</c:f>
              <c:numCache>
                <c:formatCode>General</c:formatCode>
                <c:ptCount val="19"/>
                <c:pt idx="0">
                  <c:v>5.8929978706446999E-2</c:v>
                </c:pt>
                <c:pt idx="1">
                  <c:v>5.1537770390811401E-2</c:v>
                </c:pt>
                <c:pt idx="2">
                  <c:v>5.8047353042828001E-2</c:v>
                </c:pt>
                <c:pt idx="3">
                  <c:v>5.7835183041979599E-2</c:v>
                </c:pt>
                <c:pt idx="4">
                  <c:v>5.5763385548076499E-2</c:v>
                </c:pt>
                <c:pt idx="5">
                  <c:v>5.3359426887002501E-2</c:v>
                </c:pt>
                <c:pt idx="6">
                  <c:v>4.4559973968942103E-2</c:v>
                </c:pt>
                <c:pt idx="7">
                  <c:v>4.1297125367470301E-2</c:v>
                </c:pt>
                <c:pt idx="8">
                  <c:v>4.1365270696212902E-2</c:v>
                </c:pt>
                <c:pt idx="9">
                  <c:v>3.8890644140651999E-2</c:v>
                </c:pt>
                <c:pt idx="10">
                  <c:v>3.7674369178060801E-2</c:v>
                </c:pt>
                <c:pt idx="11">
                  <c:v>3.7717864736939499E-2</c:v>
                </c:pt>
                <c:pt idx="12">
                  <c:v>3.4952894680732503E-2</c:v>
                </c:pt>
                <c:pt idx="13">
                  <c:v>3.5459123608468097E-2</c:v>
                </c:pt>
                <c:pt idx="14">
                  <c:v>4.0025310074388198E-2</c:v>
                </c:pt>
                <c:pt idx="15">
                  <c:v>4.0218462935227503E-2</c:v>
                </c:pt>
                <c:pt idx="16">
                  <c:v>4.4338198993811397E-2</c:v>
                </c:pt>
                <c:pt idx="17">
                  <c:v>4.6123161941655499E-2</c:v>
                </c:pt>
                <c:pt idx="18">
                  <c:v>4.5901941428107697E-2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CA-466C-AFD8-7A0DB49171DD}"/>
            </c:ext>
          </c:extLst>
        </c:ser>
        <c:ser>
          <c:idx val="2"/>
          <c:order val="2"/>
          <c:tx>
            <c:strRef>
              <c:f>结果对比!$D$57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结果对比!$D$58:$D$76</c:f>
              <c:numCache>
                <c:formatCode>General</c:formatCode>
                <c:ptCount val="19"/>
                <c:pt idx="0">
                  <c:v>0.13358617856798699</c:v>
                </c:pt>
                <c:pt idx="1">
                  <c:v>0.12966659916158399</c:v>
                </c:pt>
                <c:pt idx="2">
                  <c:v>0.119775740231519</c:v>
                </c:pt>
                <c:pt idx="3">
                  <c:v>0.12658099419575999</c:v>
                </c:pt>
                <c:pt idx="4">
                  <c:v>0.11101559533019099</c:v>
                </c:pt>
                <c:pt idx="5">
                  <c:v>0.10498600694860399</c:v>
                </c:pt>
                <c:pt idx="6">
                  <c:v>9.6144885824918702E-2</c:v>
                </c:pt>
                <c:pt idx="7">
                  <c:v>9.7416716702063103E-2</c:v>
                </c:pt>
                <c:pt idx="8">
                  <c:v>8.7891175624806597E-2</c:v>
                </c:pt>
                <c:pt idx="9">
                  <c:v>8.5070690443153699E-2</c:v>
                </c:pt>
                <c:pt idx="10">
                  <c:v>7.87923861843388E-2</c:v>
                </c:pt>
                <c:pt idx="11">
                  <c:v>8.65759036183254E-2</c:v>
                </c:pt>
                <c:pt idx="12">
                  <c:v>8.5811466447113696E-2</c:v>
                </c:pt>
                <c:pt idx="13">
                  <c:v>8.9834381647751704E-2</c:v>
                </c:pt>
                <c:pt idx="14">
                  <c:v>8.7846676258970594E-2</c:v>
                </c:pt>
                <c:pt idx="15">
                  <c:v>0.100015712124532</c:v>
                </c:pt>
                <c:pt idx="16">
                  <c:v>0.120565536929489</c:v>
                </c:pt>
                <c:pt idx="17">
                  <c:v>0.112551701534839</c:v>
                </c:pt>
                <c:pt idx="18">
                  <c:v>0.13088670980851999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CA-466C-AFD8-7A0DB4917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5485176"/>
        <c:axId val="695489856"/>
      </c:lineChart>
      <c:catAx>
        <c:axId val="6954851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9856"/>
        <c:crosses val="autoZero"/>
        <c:auto val="1"/>
        <c:lblAlgn val="ctr"/>
        <c:lblOffset val="100"/>
        <c:noMultiLvlLbl val="0"/>
      </c:catAx>
      <c:valAx>
        <c:axId val="6954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54851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SAP2000</a:t>
            </a:r>
            <a:endParaRPr lang="zh-CN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6.7790000000000003E-2</c:v>
                </c:pt>
                <c:pt idx="1">
                  <c:v>6.5129999999999993E-2</c:v>
                </c:pt>
                <c:pt idx="2">
                  <c:v>6.472E-2</c:v>
                </c:pt>
                <c:pt idx="3">
                  <c:v>6.5409999999999996E-2</c:v>
                </c:pt>
                <c:pt idx="4">
                  <c:v>6.0900000000000003E-2</c:v>
                </c:pt>
                <c:pt idx="5">
                  <c:v>4.7239999999999997E-2</c:v>
                </c:pt>
                <c:pt idx="6">
                  <c:v>4.7489999999999997E-2</c:v>
                </c:pt>
                <c:pt idx="7">
                  <c:v>4.5269999999999998E-2</c:v>
                </c:pt>
                <c:pt idx="8">
                  <c:v>4.5770000000000012E-2</c:v>
                </c:pt>
                <c:pt idx="9">
                  <c:v>5.042E-2</c:v>
                </c:pt>
                <c:pt idx="10">
                  <c:v>4.41E-2</c:v>
                </c:pt>
                <c:pt idx="11">
                  <c:v>4.4420000000000001E-2</c:v>
                </c:pt>
                <c:pt idx="12">
                  <c:v>4.2840000000000003E-2</c:v>
                </c:pt>
                <c:pt idx="13">
                  <c:v>4.888E-2</c:v>
                </c:pt>
                <c:pt idx="14">
                  <c:v>5.2690000000000001E-2</c:v>
                </c:pt>
                <c:pt idx="15">
                  <c:v>5.987E-2</c:v>
                </c:pt>
                <c:pt idx="16">
                  <c:v>6.1009999999999988E-2</c:v>
                </c:pt>
                <c:pt idx="17">
                  <c:v>6.583E-2</c:v>
                </c:pt>
                <c:pt idx="18">
                  <c:v>7.4090000000000003E-2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FA-43C2-85EF-057440BD44D7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4.2500000000000003E-2</c:v>
                </c:pt>
                <c:pt idx="1">
                  <c:v>4.5420000000000002E-2</c:v>
                </c:pt>
                <c:pt idx="2">
                  <c:v>4.4790000000000003E-2</c:v>
                </c:pt>
                <c:pt idx="3">
                  <c:v>4.6039999999999998E-2</c:v>
                </c:pt>
                <c:pt idx="4">
                  <c:v>4.6710000000000002E-2</c:v>
                </c:pt>
                <c:pt idx="5">
                  <c:v>4.0329999999999998E-2</c:v>
                </c:pt>
                <c:pt idx="6">
                  <c:v>3.3520000000000001E-2</c:v>
                </c:pt>
                <c:pt idx="7">
                  <c:v>2.9600000000000001E-2</c:v>
                </c:pt>
                <c:pt idx="8">
                  <c:v>2.512E-2</c:v>
                </c:pt>
                <c:pt idx="9">
                  <c:v>2.4170000000000001E-2</c:v>
                </c:pt>
                <c:pt idx="10">
                  <c:v>2.213E-2</c:v>
                </c:pt>
                <c:pt idx="11">
                  <c:v>2.0750000000000001E-2</c:v>
                </c:pt>
                <c:pt idx="12">
                  <c:v>2.1080000000000002E-2</c:v>
                </c:pt>
                <c:pt idx="13">
                  <c:v>2.1499999999999998E-2</c:v>
                </c:pt>
                <c:pt idx="14">
                  <c:v>2.0570000000000001E-2</c:v>
                </c:pt>
                <c:pt idx="15">
                  <c:v>2.1350000000000001E-2</c:v>
                </c:pt>
                <c:pt idx="16">
                  <c:v>2.2249999999999999E-2</c:v>
                </c:pt>
                <c:pt idx="17">
                  <c:v>2.4410000000000001E-2</c:v>
                </c:pt>
                <c:pt idx="18">
                  <c:v>2.4840000000000001E-2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FA-43C2-85EF-057440BD44D7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6.8030000000000007E-2</c:v>
                </c:pt>
                <c:pt idx="1">
                  <c:v>6.5519999999999995E-2</c:v>
                </c:pt>
                <c:pt idx="2">
                  <c:v>6.4909999999999995E-2</c:v>
                </c:pt>
                <c:pt idx="3">
                  <c:v>6.5619999999999998E-2</c:v>
                </c:pt>
                <c:pt idx="4">
                  <c:v>6.1400000000000003E-2</c:v>
                </c:pt>
                <c:pt idx="5">
                  <c:v>4.9689999999999998E-2</c:v>
                </c:pt>
                <c:pt idx="6">
                  <c:v>4.7659999999999987E-2</c:v>
                </c:pt>
                <c:pt idx="7">
                  <c:v>4.5439999999999987E-2</c:v>
                </c:pt>
                <c:pt idx="8">
                  <c:v>4.5840000000000013E-2</c:v>
                </c:pt>
                <c:pt idx="9">
                  <c:v>5.0500000000000003E-2</c:v>
                </c:pt>
                <c:pt idx="10">
                  <c:v>4.4150000000000002E-2</c:v>
                </c:pt>
                <c:pt idx="11">
                  <c:v>4.4429999999999997E-2</c:v>
                </c:pt>
                <c:pt idx="12">
                  <c:v>4.2869999999999998E-2</c:v>
                </c:pt>
                <c:pt idx="13">
                  <c:v>4.8920000000000012E-2</c:v>
                </c:pt>
                <c:pt idx="14">
                  <c:v>5.2749999999999998E-2</c:v>
                </c:pt>
                <c:pt idx="15">
                  <c:v>5.9929999999999997E-2</c:v>
                </c:pt>
                <c:pt idx="16">
                  <c:v>6.1069999999999999E-2</c:v>
                </c:pt>
                <c:pt idx="17">
                  <c:v>6.5909999999999996E-2</c:v>
                </c:pt>
                <c:pt idx="18">
                  <c:v>7.4189999999999992E-2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FA-43C2-85EF-057440BD4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9897952"/>
        <c:axId val="739891832"/>
      </c:lineChart>
      <c:catAx>
        <c:axId val="739897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1832"/>
        <c:crosses val="autoZero"/>
        <c:auto val="1"/>
        <c:lblAlgn val="ctr"/>
        <c:lblOffset val="100"/>
        <c:noMultiLvlLbl val="0"/>
      </c:catAx>
      <c:valAx>
        <c:axId val="739891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98979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143827</xdr:colOff>
      <xdr:row>14</xdr:row>
      <xdr:rowOff>100965</xdr:rowOff>
    </xdr:from>
    <xdr:to>
      <xdr:col>14</xdr:col>
      <xdr:colOff>448627</xdr:colOff>
      <xdr:row>29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105727</xdr:colOff>
      <xdr:row>25</xdr:row>
      <xdr:rowOff>62865</xdr:rowOff>
    </xdr:from>
    <xdr:to>
      <xdr:col>14</xdr:col>
      <xdr:colOff>410527</xdr:colOff>
      <xdr:row>40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412432</xdr:colOff>
      <xdr:row>24</xdr:row>
      <xdr:rowOff>179070</xdr:rowOff>
    </xdr:from>
    <xdr:to>
      <xdr:col>13</xdr:col>
      <xdr:colOff>107632</xdr:colOff>
      <xdr:row>40</xdr:row>
      <xdr:rowOff>24765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240982</xdr:colOff>
      <xdr:row>3</xdr:row>
      <xdr:rowOff>152400</xdr:rowOff>
    </xdr:from>
    <xdr:to>
      <xdr:col>25</xdr:col>
      <xdr:colOff>545782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199072</xdr:colOff>
      <xdr:row>3</xdr:row>
      <xdr:rowOff>148590</xdr:rowOff>
    </xdr:from>
    <xdr:to>
      <xdr:col>17</xdr:col>
      <xdr:colOff>503872</xdr:colOff>
      <xdr:row>18</xdr:row>
      <xdr:rowOff>173355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266700</xdr:colOff>
      <xdr:row>29</xdr:row>
      <xdr:rowOff>24765</xdr:rowOff>
    </xdr:from>
    <xdr:to>
      <xdr:col>17</xdr:col>
      <xdr:colOff>571500</xdr:colOff>
      <xdr:row>44</xdr:row>
      <xdr:rowOff>53340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142875</xdr:colOff>
      <xdr:row>28</xdr:row>
      <xdr:rowOff>158115</xdr:rowOff>
    </xdr:from>
    <xdr:to>
      <xdr:col>25</xdr:col>
      <xdr:colOff>447675</xdr:colOff>
      <xdr:row>44</xdr:row>
      <xdr:rowOff>5715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486727</xdr:colOff>
      <xdr:row>56</xdr:row>
      <xdr:rowOff>139065</xdr:rowOff>
    </xdr:from>
    <xdr:to>
      <xdr:col>18</xdr:col>
      <xdr:colOff>181927</xdr:colOff>
      <xdr:row>71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6667</xdr:colOff>
      <xdr:row>56</xdr:row>
      <xdr:rowOff>179070</xdr:rowOff>
    </xdr:from>
    <xdr:to>
      <xdr:col>26</xdr:col>
      <xdr:colOff>311467</xdr:colOff>
      <xdr:row>72</xdr:row>
      <xdr:rowOff>24765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workbookViewId="0">
      <selection activeCell="P20" sqref="P20"/>
    </sheetView>
  </sheetViews>
  <sheetFormatPr defaultRowHeight="14.4" x14ac:dyDescent="0.25"/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>
        <v>0</v>
      </c>
      <c r="C2">
        <v>6.4510000000000012E-2</v>
      </c>
      <c r="D2">
        <v>0.12007</v>
      </c>
      <c r="E2">
        <v>0.12007</v>
      </c>
      <c r="F2">
        <v>6.9769999999999999E-2</v>
      </c>
      <c r="G2">
        <v>0.12651000000000001</v>
      </c>
      <c r="H2">
        <v>0.12695000000000001</v>
      </c>
      <c r="I2">
        <v>6.9769999999999999E-2</v>
      </c>
      <c r="J2">
        <v>0.11637</v>
      </c>
      <c r="K2">
        <v>0.1164</v>
      </c>
      <c r="L2">
        <v>6.473000000000001E-2</v>
      </c>
      <c r="M2">
        <v>0.12651000000000001</v>
      </c>
      <c r="N2">
        <v>0.12665999999999999</v>
      </c>
      <c r="O2">
        <v>6.473000000000001E-2</v>
      </c>
      <c r="P2">
        <v>0.11637</v>
      </c>
      <c r="Q2">
        <v>0.11650000000000001</v>
      </c>
    </row>
    <row r="3" spans="1:17" x14ac:dyDescent="0.25">
      <c r="A3" t="s">
        <v>18</v>
      </c>
      <c r="B3">
        <v>5</v>
      </c>
      <c r="C3">
        <v>6.4649999999999999E-2</v>
      </c>
      <c r="D3">
        <v>0.13833999999999999</v>
      </c>
      <c r="E3">
        <v>0.13835</v>
      </c>
      <c r="F3">
        <v>7.0080000000000003E-2</v>
      </c>
      <c r="G3">
        <v>0.14549999999999999</v>
      </c>
      <c r="H3">
        <v>0.14571999999999999</v>
      </c>
      <c r="I3">
        <v>7.0080000000000003E-2</v>
      </c>
      <c r="J3">
        <v>0.13400999999999999</v>
      </c>
      <c r="K3">
        <v>0.13400999999999999</v>
      </c>
      <c r="L3">
        <v>6.5329999999999999E-2</v>
      </c>
      <c r="M3">
        <v>0.14549999999999999</v>
      </c>
      <c r="N3">
        <v>0.14582000000000001</v>
      </c>
      <c r="O3">
        <v>6.5329999999999999E-2</v>
      </c>
      <c r="P3">
        <v>0.13400999999999999</v>
      </c>
      <c r="Q3">
        <v>0.13428000000000001</v>
      </c>
    </row>
    <row r="4" spans="1:17" x14ac:dyDescent="0.25">
      <c r="A4" t="s">
        <v>19</v>
      </c>
      <c r="B4">
        <v>10</v>
      </c>
      <c r="C4">
        <v>5.4429999999999999E-2</v>
      </c>
      <c r="D4">
        <v>0.12645000000000001</v>
      </c>
      <c r="E4">
        <v>0.12645000000000001</v>
      </c>
      <c r="F4">
        <v>5.9830000000000001E-2</v>
      </c>
      <c r="G4">
        <v>0.13295999999999999</v>
      </c>
      <c r="H4">
        <v>0.13317999999999999</v>
      </c>
      <c r="I4">
        <v>5.9830000000000001E-2</v>
      </c>
      <c r="J4">
        <v>0.12275</v>
      </c>
      <c r="K4">
        <v>0.12274</v>
      </c>
      <c r="L4">
        <v>5.5469999999999998E-2</v>
      </c>
      <c r="M4">
        <v>0.13295999999999999</v>
      </c>
      <c r="N4">
        <v>0.13320000000000001</v>
      </c>
      <c r="O4">
        <v>5.5469999999999998E-2</v>
      </c>
      <c r="P4">
        <v>0.12275</v>
      </c>
      <c r="Q4">
        <v>0.12291000000000001</v>
      </c>
    </row>
    <row r="5" spans="1:17" x14ac:dyDescent="0.25">
      <c r="A5" t="s">
        <v>20</v>
      </c>
      <c r="B5">
        <v>15</v>
      </c>
      <c r="C5">
        <v>5.9389999999999998E-2</v>
      </c>
      <c r="D5">
        <v>0.11321000000000001</v>
      </c>
      <c r="E5">
        <v>0.11323</v>
      </c>
      <c r="F5">
        <v>6.4500000000000002E-2</v>
      </c>
      <c r="G5">
        <v>0.11895</v>
      </c>
      <c r="H5">
        <v>0.11909</v>
      </c>
      <c r="I5">
        <v>6.4500000000000002E-2</v>
      </c>
      <c r="J5">
        <v>0.11049</v>
      </c>
      <c r="K5">
        <v>0.1105</v>
      </c>
      <c r="L5">
        <v>6.0409999999999998E-2</v>
      </c>
      <c r="M5">
        <v>0.11895</v>
      </c>
      <c r="N5">
        <v>0.11928999999999999</v>
      </c>
      <c r="O5">
        <v>6.0409999999999998E-2</v>
      </c>
      <c r="P5">
        <v>0.11049</v>
      </c>
      <c r="Q5">
        <v>0.11075</v>
      </c>
    </row>
    <row r="6" spans="1:17" x14ac:dyDescent="0.25">
      <c r="A6" t="s">
        <v>21</v>
      </c>
      <c r="B6">
        <v>20</v>
      </c>
      <c r="C6">
        <v>5.0049999999999997E-2</v>
      </c>
      <c r="D6">
        <v>9.5060000000000006E-2</v>
      </c>
      <c r="E6">
        <v>9.5150000000000012E-2</v>
      </c>
      <c r="F6">
        <v>5.4369999999999988E-2</v>
      </c>
      <c r="G6">
        <v>9.9890000000000007E-2</v>
      </c>
      <c r="H6">
        <v>9.9930000000000005E-2</v>
      </c>
      <c r="I6">
        <v>5.4369999999999988E-2</v>
      </c>
      <c r="J6">
        <v>9.2769999999999991E-2</v>
      </c>
      <c r="K6">
        <v>9.282E-2</v>
      </c>
      <c r="L6">
        <v>5.0700000000000002E-2</v>
      </c>
      <c r="M6">
        <v>9.9890000000000007E-2</v>
      </c>
      <c r="N6">
        <v>0.10031</v>
      </c>
      <c r="O6">
        <v>5.0700000000000002E-2</v>
      </c>
      <c r="P6">
        <v>9.2769999999999991E-2</v>
      </c>
      <c r="Q6">
        <v>9.3120000000000008E-2</v>
      </c>
    </row>
    <row r="7" spans="1:17" x14ac:dyDescent="0.25">
      <c r="A7" t="s">
        <v>22</v>
      </c>
      <c r="B7">
        <v>25</v>
      </c>
      <c r="C7">
        <v>5.1060000000000001E-2</v>
      </c>
      <c r="D7">
        <v>7.7900000000000011E-2</v>
      </c>
      <c r="E7">
        <v>7.7969999999999998E-2</v>
      </c>
      <c r="F7">
        <v>5.4829999999999997E-2</v>
      </c>
      <c r="G7">
        <v>8.2049999999999998E-2</v>
      </c>
      <c r="H7">
        <v>8.2170000000000007E-2</v>
      </c>
      <c r="I7">
        <v>5.4829999999999997E-2</v>
      </c>
      <c r="J7">
        <v>7.6109999999999997E-2</v>
      </c>
      <c r="K7">
        <v>7.6200000000000004E-2</v>
      </c>
      <c r="L7">
        <v>5.1580000000000001E-2</v>
      </c>
      <c r="M7">
        <v>8.2049999999999998E-2</v>
      </c>
      <c r="N7">
        <v>8.2430000000000003E-2</v>
      </c>
      <c r="O7">
        <v>5.1580000000000001E-2</v>
      </c>
      <c r="P7">
        <v>7.6109999999999997E-2</v>
      </c>
      <c r="Q7">
        <v>7.6469999999999996E-2</v>
      </c>
    </row>
    <row r="8" spans="1:17" x14ac:dyDescent="0.25">
      <c r="A8" t="s">
        <v>23</v>
      </c>
      <c r="B8">
        <v>30</v>
      </c>
      <c r="C8">
        <v>5.0209999999999998E-2</v>
      </c>
      <c r="D8">
        <v>7.8060000000000004E-2</v>
      </c>
      <c r="E8">
        <v>7.8090000000000007E-2</v>
      </c>
      <c r="F8">
        <v>5.348E-2</v>
      </c>
      <c r="G8">
        <v>8.2180000000000003E-2</v>
      </c>
      <c r="H8">
        <v>8.233E-2</v>
      </c>
      <c r="I8">
        <v>5.348E-2</v>
      </c>
      <c r="J8">
        <v>7.5900000000000009E-2</v>
      </c>
      <c r="K8">
        <v>7.5909999999999991E-2</v>
      </c>
      <c r="L8">
        <v>5.0549999999999998E-2</v>
      </c>
      <c r="M8">
        <v>8.2180000000000003E-2</v>
      </c>
      <c r="N8">
        <v>8.2450000000000009E-2</v>
      </c>
      <c r="O8">
        <v>5.0549999999999998E-2</v>
      </c>
      <c r="P8">
        <v>7.5900000000000009E-2</v>
      </c>
      <c r="Q8">
        <v>7.6189999999999994E-2</v>
      </c>
    </row>
    <row r="9" spans="1:17" x14ac:dyDescent="0.25">
      <c r="A9" t="s">
        <v>24</v>
      </c>
      <c r="B9">
        <v>35</v>
      </c>
      <c r="C9">
        <v>5.6390000000000003E-2</v>
      </c>
      <c r="D9">
        <v>6.9739999999999996E-2</v>
      </c>
      <c r="E9">
        <v>7.1749999999999994E-2</v>
      </c>
      <c r="F9">
        <v>5.9490000000000001E-2</v>
      </c>
      <c r="G9">
        <v>7.331E-2</v>
      </c>
      <c r="H9">
        <v>7.553E-2</v>
      </c>
      <c r="I9">
        <v>5.9490000000000001E-2</v>
      </c>
      <c r="J9">
        <v>6.8010000000000001E-2</v>
      </c>
      <c r="K9">
        <v>7.2279999999999997E-2</v>
      </c>
      <c r="L9">
        <v>5.6030000000000003E-2</v>
      </c>
      <c r="M9">
        <v>7.331E-2</v>
      </c>
      <c r="N9">
        <v>7.392E-2</v>
      </c>
      <c r="O9">
        <v>5.6030000000000003E-2</v>
      </c>
      <c r="P9">
        <v>6.8010000000000001E-2</v>
      </c>
      <c r="Q9">
        <v>7.0489999999999997E-2</v>
      </c>
    </row>
    <row r="10" spans="1:17" x14ac:dyDescent="0.25">
      <c r="A10" t="s">
        <v>25</v>
      </c>
      <c r="B10">
        <v>40</v>
      </c>
      <c r="C10">
        <v>5.62E-2</v>
      </c>
      <c r="D10">
        <v>6.2109999999999999E-2</v>
      </c>
      <c r="E10">
        <v>6.6989999999999994E-2</v>
      </c>
      <c r="F10">
        <v>5.9290000000000002E-2</v>
      </c>
      <c r="G10">
        <v>6.5790000000000001E-2</v>
      </c>
      <c r="H10">
        <v>7.0830000000000004E-2</v>
      </c>
      <c r="I10">
        <v>5.9290000000000002E-2</v>
      </c>
      <c r="J10">
        <v>6.012E-2</v>
      </c>
      <c r="K10">
        <v>6.7530000000000007E-2</v>
      </c>
      <c r="L10">
        <v>5.5390000000000002E-2</v>
      </c>
      <c r="M10">
        <v>6.5790000000000001E-2</v>
      </c>
      <c r="N10">
        <v>6.8790000000000004E-2</v>
      </c>
      <c r="O10">
        <v>5.5390000000000002E-2</v>
      </c>
      <c r="P10">
        <v>6.012E-2</v>
      </c>
      <c r="Q10">
        <v>6.5379999999999994E-2</v>
      </c>
    </row>
    <row r="11" spans="1:17" x14ac:dyDescent="0.25">
      <c r="A11" t="s">
        <v>26</v>
      </c>
      <c r="B11">
        <v>45</v>
      </c>
      <c r="C11">
        <v>5.4200000000000012E-2</v>
      </c>
      <c r="D11">
        <v>6.1969999999999997E-2</v>
      </c>
      <c r="E11">
        <v>6.5849999999999992E-2</v>
      </c>
      <c r="F11">
        <v>5.7020000000000001E-2</v>
      </c>
      <c r="G11">
        <v>6.5420000000000006E-2</v>
      </c>
      <c r="H11">
        <v>6.9419999999999996E-2</v>
      </c>
      <c r="I11">
        <v>5.7020000000000001E-2</v>
      </c>
      <c r="J11">
        <v>5.9950000000000003E-2</v>
      </c>
      <c r="K11">
        <v>6.6180000000000003E-2</v>
      </c>
      <c r="L11">
        <v>5.3330000000000002E-2</v>
      </c>
      <c r="M11">
        <v>6.5420000000000006E-2</v>
      </c>
      <c r="N11">
        <v>6.7519999999999997E-2</v>
      </c>
      <c r="O11">
        <v>5.3330000000000002E-2</v>
      </c>
      <c r="P11">
        <v>5.9950000000000003E-2</v>
      </c>
      <c r="Q11">
        <v>6.4189999999999997E-2</v>
      </c>
    </row>
    <row r="13" spans="1:17" x14ac:dyDescent="0.25">
      <c r="A13" s="2" t="s">
        <v>11</v>
      </c>
      <c r="B13" s="2" t="s">
        <v>12</v>
      </c>
      <c r="C13" s="2" t="s">
        <v>13</v>
      </c>
    </row>
    <row r="14" spans="1:17" x14ac:dyDescent="0.25">
      <c r="A14">
        <v>6.473000000000001E-2</v>
      </c>
      <c r="B14">
        <v>0.12651000000000001</v>
      </c>
      <c r="C14">
        <v>0.12665999999999999</v>
      </c>
    </row>
    <row r="15" spans="1:17" x14ac:dyDescent="0.25">
      <c r="A15">
        <v>6.5329999999999999E-2</v>
      </c>
      <c r="B15">
        <v>0.14549999999999999</v>
      </c>
      <c r="C15">
        <v>0.14582000000000001</v>
      </c>
    </row>
    <row r="16" spans="1:17" x14ac:dyDescent="0.25">
      <c r="A16">
        <v>5.5469999999999998E-2</v>
      </c>
      <c r="B16">
        <v>0.13295999999999999</v>
      </c>
      <c r="C16">
        <v>0.13320000000000001</v>
      </c>
    </row>
    <row r="17" spans="1:3" x14ac:dyDescent="0.25">
      <c r="A17">
        <v>6.0409999999999998E-2</v>
      </c>
      <c r="B17">
        <v>0.11895</v>
      </c>
      <c r="C17">
        <v>0.11928999999999999</v>
      </c>
    </row>
    <row r="18" spans="1:3" x14ac:dyDescent="0.25">
      <c r="A18">
        <v>5.0700000000000002E-2</v>
      </c>
      <c r="B18">
        <v>9.9890000000000007E-2</v>
      </c>
      <c r="C18">
        <v>0.10031</v>
      </c>
    </row>
    <row r="19" spans="1:3" x14ac:dyDescent="0.25">
      <c r="A19">
        <v>5.1580000000000001E-2</v>
      </c>
      <c r="B19">
        <v>8.2049999999999998E-2</v>
      </c>
      <c r="C19">
        <v>8.2430000000000003E-2</v>
      </c>
    </row>
    <row r="20" spans="1:3" x14ac:dyDescent="0.25">
      <c r="A20">
        <v>5.0549999999999998E-2</v>
      </c>
      <c r="B20">
        <v>8.2180000000000003E-2</v>
      </c>
      <c r="C20">
        <v>8.2450000000000009E-2</v>
      </c>
    </row>
    <row r="21" spans="1:3" x14ac:dyDescent="0.25">
      <c r="A21">
        <v>5.6030000000000003E-2</v>
      </c>
      <c r="B21">
        <v>7.331E-2</v>
      </c>
      <c r="C21">
        <v>7.392E-2</v>
      </c>
    </row>
    <row r="22" spans="1:3" x14ac:dyDescent="0.25">
      <c r="A22">
        <v>5.5390000000000002E-2</v>
      </c>
      <c r="B22">
        <v>6.5790000000000001E-2</v>
      </c>
      <c r="C22">
        <v>6.8790000000000004E-2</v>
      </c>
    </row>
    <row r="23" spans="1:3" x14ac:dyDescent="0.25">
      <c r="A23">
        <v>5.3330000000000002E-2</v>
      </c>
      <c r="B23">
        <v>6.5420000000000006E-2</v>
      </c>
      <c r="C23">
        <v>6.7519999999999997E-2</v>
      </c>
    </row>
  </sheetData>
  <phoneticPr fontId="1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1"/>
  <sheetViews>
    <sheetView topLeftCell="A2" workbookViewId="0">
      <selection activeCell="C2" sqref="C2:D20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</row>
    <row r="2" spans="1:17" x14ac:dyDescent="0.25">
      <c r="A2" t="s">
        <v>42</v>
      </c>
      <c r="B2">
        <v>0</v>
      </c>
      <c r="C2">
        <v>8.0399999999999999E-2</v>
      </c>
      <c r="D2">
        <v>5.9330000000000001E-2</v>
      </c>
      <c r="E2">
        <v>8.0379999999999993E-2</v>
      </c>
      <c r="F2">
        <v>7.4389999999999998E-2</v>
      </c>
      <c r="G2">
        <v>5.6489999999999999E-2</v>
      </c>
      <c r="H2">
        <v>7.6859999999999998E-2</v>
      </c>
      <c r="I2">
        <v>8.7139999999999995E-2</v>
      </c>
      <c r="J2">
        <v>5.6489999999999999E-2</v>
      </c>
      <c r="K2">
        <v>8.8510000000000005E-2</v>
      </c>
      <c r="L2">
        <v>8.7139999999999995E-2</v>
      </c>
      <c r="M2">
        <v>6.9879999999999998E-2</v>
      </c>
      <c r="N2">
        <v>9.1069999999999998E-2</v>
      </c>
      <c r="O2">
        <v>7.4389999999999998E-2</v>
      </c>
      <c r="P2">
        <v>6.9879999999999998E-2</v>
      </c>
      <c r="Q2">
        <v>8.165E-2</v>
      </c>
    </row>
    <row r="3" spans="1:17" x14ac:dyDescent="0.25">
      <c r="A3" t="s">
        <v>43</v>
      </c>
      <c r="B3">
        <v>5</v>
      </c>
      <c r="C3">
        <v>6.8069999999999992E-2</v>
      </c>
      <c r="D3">
        <v>6.0400000000000002E-2</v>
      </c>
      <c r="E3">
        <v>7.2800000000000004E-2</v>
      </c>
      <c r="F3">
        <v>6.318E-2</v>
      </c>
      <c r="G3">
        <v>5.7259999999999998E-2</v>
      </c>
      <c r="H3">
        <v>6.8209999999999993E-2</v>
      </c>
      <c r="I3">
        <v>7.3819999999999997E-2</v>
      </c>
      <c r="J3">
        <v>5.7259999999999998E-2</v>
      </c>
      <c r="K3">
        <v>7.6079999999999995E-2</v>
      </c>
      <c r="L3">
        <v>7.3819999999999997E-2</v>
      </c>
      <c r="M3">
        <v>6.9889999999999994E-2</v>
      </c>
      <c r="N3">
        <v>8.131999999999999E-2</v>
      </c>
      <c r="O3">
        <v>6.318E-2</v>
      </c>
      <c r="P3">
        <v>6.9889999999999994E-2</v>
      </c>
      <c r="Q3">
        <v>7.5370000000000006E-2</v>
      </c>
    </row>
    <row r="4" spans="1:17" x14ac:dyDescent="0.25">
      <c r="A4" t="s">
        <v>44</v>
      </c>
      <c r="B4">
        <v>10</v>
      </c>
      <c r="C4">
        <v>8.3290000000000003E-2</v>
      </c>
      <c r="D4">
        <v>6.0840000000000012E-2</v>
      </c>
      <c r="E4">
        <v>8.3290000000000003E-2</v>
      </c>
      <c r="F4">
        <v>7.714E-2</v>
      </c>
      <c r="G4">
        <v>5.7459999999999997E-2</v>
      </c>
      <c r="H4">
        <v>8.0069999999999988E-2</v>
      </c>
      <c r="I4">
        <v>9.0029999999999999E-2</v>
      </c>
      <c r="J4">
        <v>5.7459999999999997E-2</v>
      </c>
      <c r="K4">
        <v>9.1569999999999999E-2</v>
      </c>
      <c r="L4">
        <v>9.0029999999999999E-2</v>
      </c>
      <c r="M4">
        <v>7.1169999999999997E-2</v>
      </c>
      <c r="N4">
        <v>9.3310000000000004E-2</v>
      </c>
      <c r="O4">
        <v>7.714E-2</v>
      </c>
      <c r="P4">
        <v>7.1169999999999997E-2</v>
      </c>
      <c r="Q4">
        <v>8.3949999999999997E-2</v>
      </c>
    </row>
    <row r="5" spans="1:17" x14ac:dyDescent="0.25">
      <c r="A5" t="s">
        <v>45</v>
      </c>
      <c r="B5">
        <v>15</v>
      </c>
      <c r="C5">
        <v>6.7720000000000002E-2</v>
      </c>
      <c r="D5">
        <v>5.8270000000000002E-2</v>
      </c>
      <c r="E5">
        <v>7.1470000000000006E-2</v>
      </c>
      <c r="F5">
        <v>6.2740000000000004E-2</v>
      </c>
      <c r="G5">
        <v>5.4820000000000001E-2</v>
      </c>
      <c r="H5">
        <v>6.6640000000000005E-2</v>
      </c>
      <c r="I5">
        <v>7.3319999999999996E-2</v>
      </c>
      <c r="J5">
        <v>5.4820000000000001E-2</v>
      </c>
      <c r="K5">
        <v>7.4730000000000005E-2</v>
      </c>
      <c r="L5">
        <v>7.3319999999999996E-2</v>
      </c>
      <c r="M5">
        <v>6.7080000000000001E-2</v>
      </c>
      <c r="N5">
        <v>7.9489999999999991E-2</v>
      </c>
      <c r="O5">
        <v>6.2740000000000004E-2</v>
      </c>
      <c r="P5">
        <v>6.7080000000000001E-2</v>
      </c>
      <c r="Q5">
        <v>7.3469999999999994E-2</v>
      </c>
    </row>
    <row r="6" spans="1:17" x14ac:dyDescent="0.25">
      <c r="A6" t="s">
        <v>46</v>
      </c>
      <c r="B6">
        <v>20</v>
      </c>
      <c r="C6">
        <v>7.2819999999999996E-2</v>
      </c>
      <c r="D6">
        <v>5.4710000000000002E-2</v>
      </c>
      <c r="E6">
        <v>7.2950000000000001E-2</v>
      </c>
      <c r="F6">
        <v>6.7369999999999999E-2</v>
      </c>
      <c r="G6">
        <v>5.3190000000000001E-2</v>
      </c>
      <c r="H6">
        <v>7.0970000000000005E-2</v>
      </c>
      <c r="I6">
        <v>7.887000000000001E-2</v>
      </c>
      <c r="J6">
        <v>5.3190000000000001E-2</v>
      </c>
      <c r="K6">
        <v>8.1009999999999999E-2</v>
      </c>
      <c r="L6">
        <v>7.887000000000001E-2</v>
      </c>
      <c r="M6">
        <v>6.2869999999999995E-2</v>
      </c>
      <c r="N6">
        <v>8.1220000000000001E-2</v>
      </c>
      <c r="O6">
        <v>6.7369999999999999E-2</v>
      </c>
      <c r="P6">
        <v>6.2869999999999995E-2</v>
      </c>
      <c r="Q6">
        <v>7.3709999999999998E-2</v>
      </c>
    </row>
    <row r="7" spans="1:17" x14ac:dyDescent="0.25">
      <c r="A7" t="s">
        <v>47</v>
      </c>
      <c r="B7">
        <v>25</v>
      </c>
      <c r="C7">
        <v>5.9909999999999998E-2</v>
      </c>
      <c r="D7">
        <v>4.9709999999999997E-2</v>
      </c>
      <c r="E7">
        <v>6.2270000000000013E-2</v>
      </c>
      <c r="F7">
        <v>5.5640000000000002E-2</v>
      </c>
      <c r="G7">
        <v>4.7630000000000013E-2</v>
      </c>
      <c r="H7">
        <v>5.8590000000000003E-2</v>
      </c>
      <c r="I7">
        <v>6.4899999999999999E-2</v>
      </c>
      <c r="J7">
        <v>4.7630000000000013E-2</v>
      </c>
      <c r="K7">
        <v>6.6099999999999992E-2</v>
      </c>
      <c r="L7">
        <v>6.4899999999999999E-2</v>
      </c>
      <c r="M7">
        <v>5.7540000000000001E-2</v>
      </c>
      <c r="N7">
        <v>6.9379999999999997E-2</v>
      </c>
      <c r="O7">
        <v>5.5640000000000002E-2</v>
      </c>
      <c r="P7">
        <v>5.7540000000000001E-2</v>
      </c>
      <c r="Q7">
        <v>6.4030000000000004E-2</v>
      </c>
    </row>
    <row r="8" spans="1:17" x14ac:dyDescent="0.25">
      <c r="A8" t="s">
        <v>48</v>
      </c>
      <c r="B8">
        <v>30</v>
      </c>
      <c r="C8">
        <v>5.7419999999999999E-2</v>
      </c>
      <c r="D8">
        <v>4.4650000000000002E-2</v>
      </c>
      <c r="E8">
        <v>5.8189999999999999E-2</v>
      </c>
      <c r="F8">
        <v>5.314E-2</v>
      </c>
      <c r="G8">
        <v>4.2540000000000001E-2</v>
      </c>
      <c r="H8">
        <v>5.4969999999999998E-2</v>
      </c>
      <c r="I8">
        <v>6.2270000000000013E-2</v>
      </c>
      <c r="J8">
        <v>4.2540000000000001E-2</v>
      </c>
      <c r="K8">
        <v>6.3210000000000002E-2</v>
      </c>
      <c r="L8">
        <v>6.2270000000000013E-2</v>
      </c>
      <c r="M8">
        <v>5.2139999999999999E-2</v>
      </c>
      <c r="N8">
        <v>6.5769999999999995E-2</v>
      </c>
      <c r="O8">
        <v>5.314E-2</v>
      </c>
      <c r="P8">
        <v>5.2139999999999999E-2</v>
      </c>
      <c r="Q8">
        <v>5.9549999999999999E-2</v>
      </c>
    </row>
    <row r="9" spans="1:17" x14ac:dyDescent="0.25">
      <c r="A9" t="s">
        <v>49</v>
      </c>
      <c r="B9">
        <v>35</v>
      </c>
      <c r="C9">
        <v>5.2159999999999998E-2</v>
      </c>
      <c r="D9">
        <v>3.3939999999999998E-2</v>
      </c>
      <c r="E9">
        <v>5.2170000000000001E-2</v>
      </c>
      <c r="F9">
        <v>4.8259999999999997E-2</v>
      </c>
      <c r="G9">
        <v>3.4130000000000001E-2</v>
      </c>
      <c r="H9">
        <v>4.9759999999999999E-2</v>
      </c>
      <c r="I9">
        <v>5.6509999999999998E-2</v>
      </c>
      <c r="J9">
        <v>3.4130000000000001E-2</v>
      </c>
      <c r="K9">
        <v>5.7669999999999999E-2</v>
      </c>
      <c r="L9">
        <v>5.6509999999999998E-2</v>
      </c>
      <c r="M9">
        <v>3.9409999999999987E-2</v>
      </c>
      <c r="N9">
        <v>5.808E-2</v>
      </c>
      <c r="O9">
        <v>4.8259999999999997E-2</v>
      </c>
      <c r="P9">
        <v>3.9409999999999987E-2</v>
      </c>
      <c r="Q9">
        <v>4.9840000000000002E-2</v>
      </c>
    </row>
    <row r="10" spans="1:17" x14ac:dyDescent="0.25">
      <c r="A10" t="s">
        <v>50</v>
      </c>
      <c r="B10">
        <v>40</v>
      </c>
      <c r="C10">
        <v>4.8460000000000003E-2</v>
      </c>
      <c r="D10">
        <v>3.3250000000000002E-2</v>
      </c>
      <c r="E10">
        <v>4.8480000000000002E-2</v>
      </c>
      <c r="F10">
        <v>4.48E-2</v>
      </c>
      <c r="G10">
        <v>3.2680000000000001E-2</v>
      </c>
      <c r="H10">
        <v>4.6549999999999987E-2</v>
      </c>
      <c r="I10">
        <v>5.2470000000000003E-2</v>
      </c>
      <c r="J10">
        <v>3.2680000000000001E-2</v>
      </c>
      <c r="K10">
        <v>5.3629999999999997E-2</v>
      </c>
      <c r="L10">
        <v>5.2470000000000003E-2</v>
      </c>
      <c r="M10">
        <v>3.8490000000000003E-2</v>
      </c>
      <c r="N10">
        <v>5.3900000000000003E-2</v>
      </c>
      <c r="O10">
        <v>4.48E-2</v>
      </c>
      <c r="P10">
        <v>3.8490000000000003E-2</v>
      </c>
      <c r="Q10">
        <v>4.725E-2</v>
      </c>
    </row>
    <row r="11" spans="1:17" x14ac:dyDescent="0.25">
      <c r="A11" t="s">
        <v>51</v>
      </c>
      <c r="B11">
        <v>45</v>
      </c>
      <c r="C11">
        <v>4.9889999999999997E-2</v>
      </c>
      <c r="D11">
        <v>3.177E-2</v>
      </c>
      <c r="E11">
        <v>4.9939999999999998E-2</v>
      </c>
      <c r="F11">
        <v>4.6149999999999997E-2</v>
      </c>
      <c r="G11">
        <v>3.2039999999999999E-2</v>
      </c>
      <c r="H11">
        <v>4.7880000000000013E-2</v>
      </c>
      <c r="I11">
        <v>5.3999999999999999E-2</v>
      </c>
      <c r="J11">
        <v>3.2039999999999999E-2</v>
      </c>
      <c r="K11">
        <v>5.5329999999999997E-2</v>
      </c>
      <c r="L11">
        <v>5.3999999999999999E-2</v>
      </c>
      <c r="M11">
        <v>3.678E-2</v>
      </c>
      <c r="N11">
        <v>5.5100000000000003E-2</v>
      </c>
      <c r="O11">
        <v>4.6149999999999997E-2</v>
      </c>
      <c r="P11">
        <v>3.678E-2</v>
      </c>
      <c r="Q11">
        <v>4.7210000000000002E-2</v>
      </c>
    </row>
    <row r="12" spans="1:17" x14ac:dyDescent="0.25">
      <c r="A12" t="s">
        <v>52</v>
      </c>
      <c r="B12">
        <v>50</v>
      </c>
      <c r="C12">
        <v>5.6550000000000003E-2</v>
      </c>
      <c r="D12">
        <v>2.7689999999999999E-2</v>
      </c>
      <c r="E12">
        <v>5.6680000000000001E-2</v>
      </c>
      <c r="F12">
        <v>5.2209999999999999E-2</v>
      </c>
      <c r="G12">
        <v>2.9839999999999998E-2</v>
      </c>
      <c r="H12">
        <v>5.4100000000000002E-2</v>
      </c>
      <c r="I12">
        <v>6.1100000000000002E-2</v>
      </c>
      <c r="J12">
        <v>2.9839999999999998E-2</v>
      </c>
      <c r="K12">
        <v>6.2729999999999994E-2</v>
      </c>
      <c r="L12">
        <v>6.1100000000000002E-2</v>
      </c>
      <c r="M12">
        <v>3.1719999999999998E-2</v>
      </c>
      <c r="N12">
        <v>6.164E-2</v>
      </c>
      <c r="O12">
        <v>5.2209999999999999E-2</v>
      </c>
      <c r="P12">
        <v>3.1719999999999998E-2</v>
      </c>
      <c r="Q12">
        <v>5.2490000000000002E-2</v>
      </c>
    </row>
    <row r="13" spans="1:17" x14ac:dyDescent="0.25">
      <c r="A13" t="s">
        <v>53</v>
      </c>
      <c r="B13">
        <v>55</v>
      </c>
      <c r="C13">
        <v>5.917E-2</v>
      </c>
      <c r="D13">
        <v>2.699E-2</v>
      </c>
      <c r="E13">
        <v>5.9200000000000003E-2</v>
      </c>
      <c r="F13">
        <v>5.4469999999999998E-2</v>
      </c>
      <c r="G13">
        <v>2.869E-2</v>
      </c>
      <c r="H13">
        <v>5.6000000000000001E-2</v>
      </c>
      <c r="I13">
        <v>6.404E-2</v>
      </c>
      <c r="J13">
        <v>2.869E-2</v>
      </c>
      <c r="K13">
        <v>6.5340000000000009E-2</v>
      </c>
      <c r="L13">
        <v>6.404E-2</v>
      </c>
      <c r="M13">
        <v>3.1949999999999999E-2</v>
      </c>
      <c r="N13">
        <v>6.4899999999999999E-2</v>
      </c>
      <c r="O13">
        <v>5.4469999999999998E-2</v>
      </c>
      <c r="P13">
        <v>3.1949999999999999E-2</v>
      </c>
      <c r="Q13">
        <v>5.5049999999999988E-2</v>
      </c>
    </row>
    <row r="14" spans="1:17" x14ac:dyDescent="0.25">
      <c r="A14" t="s">
        <v>54</v>
      </c>
      <c r="B14">
        <v>60</v>
      </c>
      <c r="C14">
        <v>6.522E-2</v>
      </c>
      <c r="D14">
        <v>2.8320000000000001E-2</v>
      </c>
      <c r="E14">
        <v>6.5239999999999992E-2</v>
      </c>
      <c r="F14">
        <v>5.9979999999999999E-2</v>
      </c>
      <c r="G14">
        <v>2.988E-2</v>
      </c>
      <c r="H14">
        <v>6.157E-2</v>
      </c>
      <c r="I14">
        <v>7.0550000000000002E-2</v>
      </c>
      <c r="J14">
        <v>2.988E-2</v>
      </c>
      <c r="K14">
        <v>7.1859999999999993E-2</v>
      </c>
      <c r="L14">
        <v>7.0550000000000002E-2</v>
      </c>
      <c r="M14">
        <v>3.3619999999999997E-2</v>
      </c>
      <c r="N14">
        <v>7.1510000000000004E-2</v>
      </c>
      <c r="O14">
        <v>5.9979999999999999E-2</v>
      </c>
      <c r="P14">
        <v>3.3619999999999997E-2</v>
      </c>
      <c r="Q14">
        <v>6.0699999999999997E-2</v>
      </c>
    </row>
    <row r="15" spans="1:17" x14ac:dyDescent="0.25">
      <c r="A15" t="s">
        <v>55</v>
      </c>
      <c r="B15">
        <v>65</v>
      </c>
      <c r="C15">
        <v>6.4890000000000003E-2</v>
      </c>
      <c r="D15">
        <v>2.6579999999999999E-2</v>
      </c>
      <c r="E15">
        <v>6.4939999999999998E-2</v>
      </c>
      <c r="F15">
        <v>5.9769999999999997E-2</v>
      </c>
      <c r="G15">
        <v>2.9850000000000002E-2</v>
      </c>
      <c r="H15">
        <v>6.1439999999999988E-2</v>
      </c>
      <c r="I15">
        <v>7.0150000000000004E-2</v>
      </c>
      <c r="J15">
        <v>2.9850000000000002E-2</v>
      </c>
      <c r="K15">
        <v>7.1669999999999998E-2</v>
      </c>
      <c r="L15">
        <v>7.0150000000000004E-2</v>
      </c>
      <c r="M15">
        <v>3.0939999999999999E-2</v>
      </c>
      <c r="N15">
        <v>7.0870000000000002E-2</v>
      </c>
      <c r="O15">
        <v>5.9769999999999997E-2</v>
      </c>
      <c r="P15">
        <v>3.0939999999999999E-2</v>
      </c>
      <c r="Q15">
        <v>6.0290000000000003E-2</v>
      </c>
    </row>
    <row r="16" spans="1:17" x14ac:dyDescent="0.25">
      <c r="A16" t="s">
        <v>56</v>
      </c>
      <c r="B16">
        <v>70</v>
      </c>
      <c r="C16">
        <v>6.0859999999999997E-2</v>
      </c>
      <c r="D16">
        <v>2.7050000000000001E-2</v>
      </c>
      <c r="E16">
        <v>6.089E-2</v>
      </c>
      <c r="F16">
        <v>5.6079999999999998E-2</v>
      </c>
      <c r="G16">
        <v>2.8889999999999999E-2</v>
      </c>
      <c r="H16">
        <v>5.7529999999999998E-2</v>
      </c>
      <c r="I16">
        <v>6.5799999999999997E-2</v>
      </c>
      <c r="J16">
        <v>2.8889999999999999E-2</v>
      </c>
      <c r="K16">
        <v>6.7049999999999998E-2</v>
      </c>
      <c r="L16">
        <v>6.5799999999999997E-2</v>
      </c>
      <c r="M16">
        <v>3.2000000000000001E-2</v>
      </c>
      <c r="N16">
        <v>6.6670000000000007E-2</v>
      </c>
      <c r="O16">
        <v>5.6079999999999998E-2</v>
      </c>
      <c r="P16">
        <v>3.2000000000000001E-2</v>
      </c>
      <c r="Q16">
        <v>5.6680000000000001E-2</v>
      </c>
    </row>
    <row r="17" spans="1:17" x14ac:dyDescent="0.25">
      <c r="A17" t="s">
        <v>57</v>
      </c>
      <c r="B17">
        <v>75</v>
      </c>
      <c r="C17">
        <v>7.51E-2</v>
      </c>
      <c r="D17">
        <v>2.9239999999999999E-2</v>
      </c>
      <c r="E17">
        <v>7.5150000000000008E-2</v>
      </c>
      <c r="F17">
        <v>6.9159999999999999E-2</v>
      </c>
      <c r="G17">
        <v>3.2399999999999998E-2</v>
      </c>
      <c r="H17">
        <v>7.0999999999999994E-2</v>
      </c>
      <c r="I17">
        <v>8.1140000000000004E-2</v>
      </c>
      <c r="J17">
        <v>3.2399999999999998E-2</v>
      </c>
      <c r="K17">
        <v>8.2750000000000004E-2</v>
      </c>
      <c r="L17">
        <v>8.1140000000000004E-2</v>
      </c>
      <c r="M17">
        <v>3.4660000000000003E-2</v>
      </c>
      <c r="N17">
        <v>8.201E-2</v>
      </c>
      <c r="O17">
        <v>6.9159999999999999E-2</v>
      </c>
      <c r="P17">
        <v>3.4660000000000003E-2</v>
      </c>
      <c r="Q17">
        <v>6.9819999999999993E-2</v>
      </c>
    </row>
    <row r="18" spans="1:17" x14ac:dyDescent="0.25">
      <c r="A18" t="s">
        <v>58</v>
      </c>
      <c r="B18">
        <v>80</v>
      </c>
      <c r="C18">
        <v>7.9430000000000001E-2</v>
      </c>
      <c r="D18">
        <v>3.3660000000000002E-2</v>
      </c>
      <c r="E18">
        <v>7.9489999999999991E-2</v>
      </c>
      <c r="F18">
        <v>7.3249999999999996E-2</v>
      </c>
      <c r="G18">
        <v>3.6150000000000002E-2</v>
      </c>
      <c r="H18">
        <v>7.528E-2</v>
      </c>
      <c r="I18">
        <v>8.5720000000000005E-2</v>
      </c>
      <c r="J18">
        <v>3.6150000000000002E-2</v>
      </c>
      <c r="K18">
        <v>8.7419999999999998E-2</v>
      </c>
      <c r="L18">
        <v>8.5720000000000005E-2</v>
      </c>
      <c r="M18">
        <v>3.9399999999999998E-2</v>
      </c>
      <c r="N18">
        <v>8.6609999999999993E-2</v>
      </c>
      <c r="O18">
        <v>7.3249999999999996E-2</v>
      </c>
      <c r="P18">
        <v>3.9399999999999998E-2</v>
      </c>
      <c r="Q18">
        <v>7.3880000000000001E-2</v>
      </c>
    </row>
    <row r="19" spans="1:17" x14ac:dyDescent="0.25">
      <c r="A19" t="s">
        <v>59</v>
      </c>
      <c r="B19">
        <v>85</v>
      </c>
      <c r="C19">
        <v>8.1009999999999999E-2</v>
      </c>
      <c r="D19">
        <v>3.6679999999999997E-2</v>
      </c>
      <c r="E19">
        <v>8.1079999999999999E-2</v>
      </c>
      <c r="F19">
        <v>7.4760000000000007E-2</v>
      </c>
      <c r="G19">
        <v>3.9289999999999999E-2</v>
      </c>
      <c r="H19">
        <v>7.6810000000000003E-2</v>
      </c>
      <c r="I19">
        <v>8.7459999999999996E-2</v>
      </c>
      <c r="J19">
        <v>3.9289999999999999E-2</v>
      </c>
      <c r="K19">
        <v>8.9230000000000004E-2</v>
      </c>
      <c r="L19">
        <v>8.7459999999999996E-2</v>
      </c>
      <c r="M19">
        <v>4.2610000000000002E-2</v>
      </c>
      <c r="N19">
        <v>8.8439999999999991E-2</v>
      </c>
      <c r="O19">
        <v>7.4760000000000007E-2</v>
      </c>
      <c r="P19">
        <v>4.2610000000000002E-2</v>
      </c>
      <c r="Q19">
        <v>7.5409999999999991E-2</v>
      </c>
    </row>
    <row r="20" spans="1:17" x14ac:dyDescent="0.25">
      <c r="A20" t="s">
        <v>60</v>
      </c>
      <c r="B20">
        <v>90</v>
      </c>
      <c r="C20">
        <v>8.4610000000000005E-2</v>
      </c>
      <c r="D20">
        <v>3.7580000000000002E-2</v>
      </c>
      <c r="E20">
        <v>8.4620000000000001E-2</v>
      </c>
      <c r="F20">
        <v>7.8200000000000006E-2</v>
      </c>
      <c r="G20">
        <v>3.9810000000000012E-2</v>
      </c>
      <c r="H20">
        <v>7.9930000000000001E-2</v>
      </c>
      <c r="I20">
        <v>9.126999999999999E-2</v>
      </c>
      <c r="J20">
        <v>3.9810000000000012E-2</v>
      </c>
      <c r="K20">
        <v>9.2790000000000011E-2</v>
      </c>
      <c r="L20">
        <v>9.126999999999999E-2</v>
      </c>
      <c r="M20">
        <v>4.4650000000000002E-2</v>
      </c>
      <c r="N20">
        <v>9.2499999999999999E-2</v>
      </c>
      <c r="O20">
        <v>7.8200000000000006E-2</v>
      </c>
      <c r="P20">
        <v>4.4650000000000002E-2</v>
      </c>
      <c r="Q20">
        <v>7.9010000000000011E-2</v>
      </c>
    </row>
    <row r="22" spans="1:17" x14ac:dyDescent="0.25">
      <c r="A22" s="1" t="s">
        <v>36</v>
      </c>
      <c r="B22" s="1" t="s">
        <v>37</v>
      </c>
      <c r="C22" s="1" t="s">
        <v>38</v>
      </c>
    </row>
    <row r="23" spans="1:17" x14ac:dyDescent="0.25">
      <c r="A23">
        <v>8.7139999999999995E-2</v>
      </c>
      <c r="B23">
        <v>6.9879999999999998E-2</v>
      </c>
      <c r="C23">
        <v>9.1069999999999998E-2</v>
      </c>
    </row>
    <row r="24" spans="1:17" x14ac:dyDescent="0.25">
      <c r="A24">
        <v>7.3819999999999997E-2</v>
      </c>
      <c r="B24">
        <v>6.9889999999999994E-2</v>
      </c>
      <c r="C24">
        <v>8.131999999999999E-2</v>
      </c>
    </row>
    <row r="25" spans="1:17" x14ac:dyDescent="0.25">
      <c r="A25">
        <v>9.0029999999999999E-2</v>
      </c>
      <c r="B25">
        <v>7.1169999999999997E-2</v>
      </c>
      <c r="C25">
        <v>9.3310000000000004E-2</v>
      </c>
    </row>
    <row r="26" spans="1:17" x14ac:dyDescent="0.25">
      <c r="A26">
        <v>7.3319999999999996E-2</v>
      </c>
      <c r="B26">
        <v>6.7080000000000001E-2</v>
      </c>
      <c r="C26">
        <v>7.9489999999999991E-2</v>
      </c>
    </row>
    <row r="27" spans="1:17" x14ac:dyDescent="0.25">
      <c r="A27">
        <v>7.887000000000001E-2</v>
      </c>
      <c r="B27">
        <v>6.2869999999999995E-2</v>
      </c>
      <c r="C27">
        <v>8.1220000000000001E-2</v>
      </c>
    </row>
    <row r="28" spans="1:17" x14ac:dyDescent="0.25">
      <c r="A28">
        <v>6.4899999999999999E-2</v>
      </c>
      <c r="B28">
        <v>5.7540000000000001E-2</v>
      </c>
      <c r="C28">
        <v>6.9379999999999997E-2</v>
      </c>
    </row>
    <row r="29" spans="1:17" x14ac:dyDescent="0.25">
      <c r="A29">
        <v>6.2270000000000013E-2</v>
      </c>
      <c r="B29">
        <v>5.2139999999999999E-2</v>
      </c>
      <c r="C29">
        <v>6.5769999999999995E-2</v>
      </c>
    </row>
    <row r="30" spans="1:17" x14ac:dyDescent="0.25">
      <c r="A30">
        <v>5.6509999999999998E-2</v>
      </c>
      <c r="B30">
        <v>3.9409999999999987E-2</v>
      </c>
      <c r="C30">
        <v>5.808E-2</v>
      </c>
    </row>
    <row r="31" spans="1:17" x14ac:dyDescent="0.25">
      <c r="A31">
        <v>5.2470000000000003E-2</v>
      </c>
      <c r="B31">
        <v>3.8490000000000003E-2</v>
      </c>
      <c r="C31">
        <v>5.3900000000000003E-2</v>
      </c>
    </row>
    <row r="32" spans="1:17" x14ac:dyDescent="0.25">
      <c r="A32">
        <v>5.3999999999999999E-2</v>
      </c>
      <c r="B32">
        <v>3.678E-2</v>
      </c>
      <c r="C32">
        <v>5.5100000000000003E-2</v>
      </c>
    </row>
    <row r="33" spans="1:3" x14ac:dyDescent="0.25">
      <c r="A33">
        <v>6.1100000000000002E-2</v>
      </c>
      <c r="B33">
        <v>3.1719999999999998E-2</v>
      </c>
      <c r="C33">
        <v>6.164E-2</v>
      </c>
    </row>
    <row r="34" spans="1:3" x14ac:dyDescent="0.25">
      <c r="A34">
        <v>6.404E-2</v>
      </c>
      <c r="B34">
        <v>3.1949999999999999E-2</v>
      </c>
      <c r="C34">
        <v>6.4899999999999999E-2</v>
      </c>
    </row>
    <row r="35" spans="1:3" x14ac:dyDescent="0.25">
      <c r="A35">
        <v>7.0550000000000002E-2</v>
      </c>
      <c r="B35">
        <v>3.3619999999999997E-2</v>
      </c>
      <c r="C35">
        <v>7.1510000000000004E-2</v>
      </c>
    </row>
    <row r="36" spans="1:3" x14ac:dyDescent="0.25">
      <c r="A36">
        <v>7.0150000000000004E-2</v>
      </c>
      <c r="B36">
        <v>3.0939999999999999E-2</v>
      </c>
      <c r="C36">
        <v>7.0870000000000002E-2</v>
      </c>
    </row>
    <row r="37" spans="1:3" x14ac:dyDescent="0.25">
      <c r="A37">
        <v>6.5799999999999997E-2</v>
      </c>
      <c r="B37">
        <v>3.2000000000000001E-2</v>
      </c>
      <c r="C37">
        <v>6.6670000000000007E-2</v>
      </c>
    </row>
    <row r="38" spans="1:3" x14ac:dyDescent="0.25">
      <c r="A38">
        <v>8.1140000000000004E-2</v>
      </c>
      <c r="B38">
        <v>3.4660000000000003E-2</v>
      </c>
      <c r="C38">
        <v>8.201E-2</v>
      </c>
    </row>
    <row r="39" spans="1:3" x14ac:dyDescent="0.25">
      <c r="A39">
        <v>8.5720000000000005E-2</v>
      </c>
      <c r="B39">
        <v>3.9399999999999998E-2</v>
      </c>
      <c r="C39">
        <v>8.6609999999999993E-2</v>
      </c>
    </row>
    <row r="40" spans="1:3" x14ac:dyDescent="0.25">
      <c r="A40">
        <v>8.7459999999999996E-2</v>
      </c>
      <c r="B40">
        <v>4.2610000000000002E-2</v>
      </c>
      <c r="C40">
        <v>8.8439999999999991E-2</v>
      </c>
    </row>
    <row r="41" spans="1:3" x14ac:dyDescent="0.25">
      <c r="A41">
        <v>9.126999999999999E-2</v>
      </c>
      <c r="B41">
        <v>4.4650000000000002E-2</v>
      </c>
      <c r="C41">
        <v>9.2499999999999999E-2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>
      <selection activeCell="C23" sqref="C23"/>
    </sheetView>
  </sheetViews>
  <sheetFormatPr defaultRowHeight="14.4" x14ac:dyDescent="0.25"/>
  <sheetData>
    <row r="1" spans="1:17" x14ac:dyDescent="0.25">
      <c r="A1" s="1" t="s">
        <v>0</v>
      </c>
      <c r="B1" s="1" t="s">
        <v>1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36</v>
      </c>
      <c r="J1" s="1" t="s">
        <v>37</v>
      </c>
      <c r="K1" s="1" t="s">
        <v>38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</row>
    <row r="2" spans="1:17" x14ac:dyDescent="0.25">
      <c r="A2" t="s">
        <v>73</v>
      </c>
      <c r="B2">
        <v>0</v>
      </c>
      <c r="C2">
        <v>6.6979999999999998E-2</v>
      </c>
      <c r="D2">
        <v>3.3529999999999997E-2</v>
      </c>
      <c r="E2">
        <v>6.6970000000000002E-2</v>
      </c>
      <c r="F2">
        <v>6.7790000000000003E-2</v>
      </c>
      <c r="G2">
        <v>2.9190000000000001E-2</v>
      </c>
      <c r="H2">
        <v>6.7790000000000003E-2</v>
      </c>
      <c r="I2">
        <v>6.6439999999999999E-2</v>
      </c>
      <c r="J2">
        <v>2.9190000000000001E-2</v>
      </c>
      <c r="K2">
        <v>6.6459999999999991E-2</v>
      </c>
      <c r="L2">
        <v>6.6439999999999999E-2</v>
      </c>
      <c r="M2">
        <v>4.2500000000000003E-2</v>
      </c>
      <c r="N2">
        <v>6.6430000000000003E-2</v>
      </c>
      <c r="O2">
        <v>6.7790000000000003E-2</v>
      </c>
      <c r="P2">
        <v>4.2500000000000003E-2</v>
      </c>
      <c r="Q2">
        <v>6.8030000000000007E-2</v>
      </c>
    </row>
    <row r="3" spans="1:17" x14ac:dyDescent="0.25">
      <c r="A3" t="s">
        <v>74</v>
      </c>
      <c r="B3">
        <v>5</v>
      </c>
      <c r="C3">
        <v>6.4310000000000006E-2</v>
      </c>
      <c r="D3">
        <v>3.5770000000000003E-2</v>
      </c>
      <c r="E3">
        <v>6.4310000000000006E-2</v>
      </c>
      <c r="F3">
        <v>6.5129999999999993E-2</v>
      </c>
      <c r="G3">
        <v>2.9739999999999999E-2</v>
      </c>
      <c r="H3">
        <v>6.5129999999999993E-2</v>
      </c>
      <c r="I3">
        <v>6.3759999999999997E-2</v>
      </c>
      <c r="J3">
        <v>2.9739999999999999E-2</v>
      </c>
      <c r="K3">
        <v>6.3799999999999996E-2</v>
      </c>
      <c r="L3">
        <v>6.3759999999999997E-2</v>
      </c>
      <c r="M3">
        <v>4.5420000000000002E-2</v>
      </c>
      <c r="N3">
        <v>6.3759999999999997E-2</v>
      </c>
      <c r="O3">
        <v>6.5129999999999993E-2</v>
      </c>
      <c r="P3">
        <v>4.5420000000000002E-2</v>
      </c>
      <c r="Q3">
        <v>6.5519999999999995E-2</v>
      </c>
    </row>
    <row r="4" spans="1:17" x14ac:dyDescent="0.25">
      <c r="A4" t="s">
        <v>75</v>
      </c>
      <c r="B4">
        <v>10</v>
      </c>
      <c r="C4">
        <v>6.3899999999999998E-2</v>
      </c>
      <c r="D4">
        <v>3.5720000000000002E-2</v>
      </c>
      <c r="E4">
        <v>6.3899999999999998E-2</v>
      </c>
      <c r="F4">
        <v>6.472E-2</v>
      </c>
      <c r="G4">
        <v>3.0460000000000001E-2</v>
      </c>
      <c r="H4">
        <v>6.4750000000000002E-2</v>
      </c>
      <c r="I4">
        <v>6.3350000000000004E-2</v>
      </c>
      <c r="J4">
        <v>3.0460000000000001E-2</v>
      </c>
      <c r="K4">
        <v>6.3450000000000006E-2</v>
      </c>
      <c r="L4">
        <v>6.3350000000000004E-2</v>
      </c>
      <c r="M4">
        <v>4.4790000000000003E-2</v>
      </c>
      <c r="N4">
        <v>6.3350000000000004E-2</v>
      </c>
      <c r="O4">
        <v>6.472E-2</v>
      </c>
      <c r="P4">
        <v>4.4790000000000003E-2</v>
      </c>
      <c r="Q4">
        <v>6.4909999999999995E-2</v>
      </c>
    </row>
    <row r="5" spans="1:17" x14ac:dyDescent="0.25">
      <c r="A5" t="s">
        <v>76</v>
      </c>
      <c r="B5">
        <v>15</v>
      </c>
      <c r="C5">
        <v>6.4640000000000003E-2</v>
      </c>
      <c r="D5">
        <v>3.6470000000000002E-2</v>
      </c>
      <c r="E5">
        <v>6.4640000000000003E-2</v>
      </c>
      <c r="F5">
        <v>6.5409999999999996E-2</v>
      </c>
      <c r="G5">
        <v>3.109E-2</v>
      </c>
      <c r="H5">
        <v>6.5439999999999998E-2</v>
      </c>
      <c r="I5">
        <v>6.4180000000000001E-2</v>
      </c>
      <c r="J5">
        <v>3.109E-2</v>
      </c>
      <c r="K5">
        <v>6.4260000000000012E-2</v>
      </c>
      <c r="L5">
        <v>6.4180000000000001E-2</v>
      </c>
      <c r="M5">
        <v>4.6039999999999998E-2</v>
      </c>
      <c r="N5">
        <v>6.4189999999999997E-2</v>
      </c>
      <c r="O5">
        <v>6.5409999999999996E-2</v>
      </c>
      <c r="P5">
        <v>4.6039999999999998E-2</v>
      </c>
      <c r="Q5">
        <v>6.5619999999999998E-2</v>
      </c>
    </row>
    <row r="6" spans="1:17" x14ac:dyDescent="0.25">
      <c r="A6" t="s">
        <v>77</v>
      </c>
      <c r="B6">
        <v>20</v>
      </c>
      <c r="C6">
        <v>6.0150000000000002E-2</v>
      </c>
      <c r="D6">
        <v>3.6859999999999997E-2</v>
      </c>
      <c r="E6">
        <v>6.0170000000000001E-2</v>
      </c>
      <c r="F6">
        <v>6.0900000000000003E-2</v>
      </c>
      <c r="G6">
        <v>3.1550000000000002E-2</v>
      </c>
      <c r="H6">
        <v>6.096E-2</v>
      </c>
      <c r="I6">
        <v>5.978E-2</v>
      </c>
      <c r="J6">
        <v>3.1550000000000002E-2</v>
      </c>
      <c r="K6">
        <v>5.9920000000000001E-2</v>
      </c>
      <c r="L6">
        <v>5.978E-2</v>
      </c>
      <c r="M6">
        <v>4.6710000000000002E-2</v>
      </c>
      <c r="N6">
        <v>6.0690000000000001E-2</v>
      </c>
      <c r="O6">
        <v>6.0900000000000003E-2</v>
      </c>
      <c r="P6">
        <v>4.6710000000000002E-2</v>
      </c>
      <c r="Q6">
        <v>6.1400000000000003E-2</v>
      </c>
    </row>
    <row r="7" spans="1:17" x14ac:dyDescent="0.25">
      <c r="A7" t="s">
        <v>78</v>
      </c>
      <c r="B7">
        <v>25</v>
      </c>
      <c r="C7">
        <v>4.6510000000000003E-2</v>
      </c>
      <c r="D7">
        <v>3.1640000000000001E-2</v>
      </c>
      <c r="E7">
        <v>4.6510000000000003E-2</v>
      </c>
      <c r="F7">
        <v>4.7239999999999997E-2</v>
      </c>
      <c r="G7">
        <v>2.724E-2</v>
      </c>
      <c r="H7">
        <v>4.7239999999999997E-2</v>
      </c>
      <c r="I7">
        <v>4.614E-2</v>
      </c>
      <c r="J7">
        <v>2.724E-2</v>
      </c>
      <c r="K7">
        <v>4.6179999999999999E-2</v>
      </c>
      <c r="L7">
        <v>4.614E-2</v>
      </c>
      <c r="M7">
        <v>4.0329999999999998E-2</v>
      </c>
      <c r="N7">
        <v>4.9020000000000001E-2</v>
      </c>
      <c r="O7">
        <v>4.7239999999999997E-2</v>
      </c>
      <c r="P7">
        <v>4.0329999999999998E-2</v>
      </c>
      <c r="Q7">
        <v>4.9689999999999998E-2</v>
      </c>
    </row>
    <row r="8" spans="1:17" x14ac:dyDescent="0.25">
      <c r="A8" t="s">
        <v>79</v>
      </c>
      <c r="B8">
        <v>30</v>
      </c>
      <c r="C8">
        <v>4.6940000000000003E-2</v>
      </c>
      <c r="D8">
        <v>2.6450000000000001E-2</v>
      </c>
      <c r="E8">
        <v>4.6940000000000003E-2</v>
      </c>
      <c r="F8">
        <v>4.7489999999999997E-2</v>
      </c>
      <c r="G8">
        <v>2.298E-2</v>
      </c>
      <c r="H8">
        <v>4.7500000000000001E-2</v>
      </c>
      <c r="I8">
        <v>4.6679999999999999E-2</v>
      </c>
      <c r="J8">
        <v>2.298E-2</v>
      </c>
      <c r="K8">
        <v>4.6719999999999998E-2</v>
      </c>
      <c r="L8">
        <v>4.6679999999999999E-2</v>
      </c>
      <c r="M8">
        <v>3.3520000000000001E-2</v>
      </c>
      <c r="N8">
        <v>4.6690000000000002E-2</v>
      </c>
      <c r="O8">
        <v>4.7489999999999997E-2</v>
      </c>
      <c r="P8">
        <v>3.3520000000000001E-2</v>
      </c>
      <c r="Q8">
        <v>4.7659999999999987E-2</v>
      </c>
    </row>
    <row r="9" spans="1:17" x14ac:dyDescent="0.25">
      <c r="A9" t="s">
        <v>80</v>
      </c>
      <c r="B9">
        <v>35</v>
      </c>
      <c r="C9">
        <v>4.4760000000000001E-2</v>
      </c>
      <c r="D9">
        <v>2.3120000000000002E-2</v>
      </c>
      <c r="E9">
        <v>4.4760000000000001E-2</v>
      </c>
      <c r="F9">
        <v>4.5269999999999998E-2</v>
      </c>
      <c r="G9">
        <v>1.9949999999999999E-2</v>
      </c>
      <c r="H9">
        <v>4.5280000000000001E-2</v>
      </c>
      <c r="I9">
        <v>4.4499999999999998E-2</v>
      </c>
      <c r="J9">
        <v>1.9949999999999999E-2</v>
      </c>
      <c r="K9">
        <v>4.4519999999999997E-2</v>
      </c>
      <c r="L9">
        <v>4.4499999999999998E-2</v>
      </c>
      <c r="M9">
        <v>2.9600000000000001E-2</v>
      </c>
      <c r="N9">
        <v>4.4499999999999998E-2</v>
      </c>
      <c r="O9">
        <v>4.5269999999999998E-2</v>
      </c>
      <c r="P9">
        <v>2.9600000000000001E-2</v>
      </c>
      <c r="Q9">
        <v>4.5439999999999987E-2</v>
      </c>
    </row>
    <row r="10" spans="1:17" x14ac:dyDescent="0.25">
      <c r="A10" t="s">
        <v>81</v>
      </c>
      <c r="B10">
        <v>40</v>
      </c>
      <c r="C10">
        <v>4.5229999999999999E-2</v>
      </c>
      <c r="D10">
        <v>1.9740000000000001E-2</v>
      </c>
      <c r="E10">
        <v>4.5220000000000003E-2</v>
      </c>
      <c r="F10">
        <v>4.5770000000000012E-2</v>
      </c>
      <c r="G10">
        <v>1.737E-2</v>
      </c>
      <c r="H10">
        <v>4.5789999999999997E-2</v>
      </c>
      <c r="I10">
        <v>4.4859999999999997E-2</v>
      </c>
      <c r="J10">
        <v>1.737E-2</v>
      </c>
      <c r="K10">
        <v>4.4889999999999999E-2</v>
      </c>
      <c r="L10">
        <v>4.4859999999999997E-2</v>
      </c>
      <c r="M10">
        <v>2.512E-2</v>
      </c>
      <c r="N10">
        <v>4.4850000000000001E-2</v>
      </c>
      <c r="O10">
        <v>4.5770000000000012E-2</v>
      </c>
      <c r="P10">
        <v>2.512E-2</v>
      </c>
      <c r="Q10">
        <v>4.5840000000000013E-2</v>
      </c>
    </row>
    <row r="11" spans="1:17" x14ac:dyDescent="0.25">
      <c r="A11" t="s">
        <v>82</v>
      </c>
      <c r="B11">
        <v>45</v>
      </c>
      <c r="C11">
        <v>4.9849999999999998E-2</v>
      </c>
      <c r="D11">
        <v>1.9130000000000001E-2</v>
      </c>
      <c r="E11">
        <v>4.9849999999999998E-2</v>
      </c>
      <c r="F11">
        <v>5.042E-2</v>
      </c>
      <c r="G11">
        <v>1.653E-2</v>
      </c>
      <c r="H11">
        <v>5.0430000000000003E-2</v>
      </c>
      <c r="I11">
        <v>4.9410000000000003E-2</v>
      </c>
      <c r="J11">
        <v>1.653E-2</v>
      </c>
      <c r="K11">
        <v>4.9439999999999998E-2</v>
      </c>
      <c r="L11">
        <v>4.9410000000000003E-2</v>
      </c>
      <c r="M11">
        <v>2.4170000000000001E-2</v>
      </c>
      <c r="N11">
        <v>4.9430000000000002E-2</v>
      </c>
      <c r="O11">
        <v>5.042E-2</v>
      </c>
      <c r="P11">
        <v>2.4170000000000001E-2</v>
      </c>
      <c r="Q11">
        <v>5.0500000000000003E-2</v>
      </c>
    </row>
    <row r="12" spans="1:17" x14ac:dyDescent="0.25">
      <c r="A12" t="s">
        <v>83</v>
      </c>
      <c r="B12">
        <v>50</v>
      </c>
      <c r="C12">
        <v>4.3619999999999999E-2</v>
      </c>
      <c r="D12">
        <v>1.7409999999999998E-2</v>
      </c>
      <c r="E12">
        <v>4.3619999999999999E-2</v>
      </c>
      <c r="F12">
        <v>4.41E-2</v>
      </c>
      <c r="G12">
        <v>1.5049999999999999E-2</v>
      </c>
      <c r="H12">
        <v>4.4119999999999999E-2</v>
      </c>
      <c r="I12">
        <v>4.3249999999999997E-2</v>
      </c>
      <c r="J12">
        <v>1.5049999999999999E-2</v>
      </c>
      <c r="K12">
        <v>4.3279999999999999E-2</v>
      </c>
      <c r="L12">
        <v>4.3249999999999997E-2</v>
      </c>
      <c r="M12">
        <v>2.213E-2</v>
      </c>
      <c r="N12">
        <v>4.3249999999999997E-2</v>
      </c>
      <c r="O12">
        <v>4.41E-2</v>
      </c>
      <c r="P12">
        <v>2.213E-2</v>
      </c>
      <c r="Q12">
        <v>4.4150000000000002E-2</v>
      </c>
    </row>
    <row r="13" spans="1:17" x14ac:dyDescent="0.25">
      <c r="A13" t="s">
        <v>84</v>
      </c>
      <c r="B13">
        <v>55</v>
      </c>
      <c r="C13">
        <v>4.3950000000000003E-2</v>
      </c>
      <c r="D13">
        <v>1.6480000000000002E-2</v>
      </c>
      <c r="E13">
        <v>4.3950000000000003E-2</v>
      </c>
      <c r="F13">
        <v>4.4420000000000001E-2</v>
      </c>
      <c r="G13">
        <v>1.4330000000000001E-2</v>
      </c>
      <c r="H13">
        <v>4.446E-2</v>
      </c>
      <c r="I13">
        <v>4.3580000000000001E-2</v>
      </c>
      <c r="J13">
        <v>1.4330000000000001E-2</v>
      </c>
      <c r="K13">
        <v>4.3630000000000002E-2</v>
      </c>
      <c r="L13">
        <v>4.3580000000000001E-2</v>
      </c>
      <c r="M13">
        <v>2.0750000000000001E-2</v>
      </c>
      <c r="N13">
        <v>4.3569999999999998E-2</v>
      </c>
      <c r="O13">
        <v>4.4420000000000001E-2</v>
      </c>
      <c r="P13">
        <v>2.0750000000000001E-2</v>
      </c>
      <c r="Q13">
        <v>4.4429999999999997E-2</v>
      </c>
    </row>
    <row r="14" spans="1:17" x14ac:dyDescent="0.25">
      <c r="A14" t="s">
        <v>85</v>
      </c>
      <c r="B14">
        <v>60</v>
      </c>
      <c r="C14">
        <v>4.2360000000000002E-2</v>
      </c>
      <c r="D14">
        <v>1.6750000000000001E-2</v>
      </c>
      <c r="E14">
        <v>4.2349999999999999E-2</v>
      </c>
      <c r="F14">
        <v>4.2840000000000003E-2</v>
      </c>
      <c r="G14">
        <v>1.457E-2</v>
      </c>
      <c r="H14">
        <v>4.2869999999999998E-2</v>
      </c>
      <c r="I14">
        <v>4.197E-2</v>
      </c>
      <c r="J14">
        <v>1.457E-2</v>
      </c>
      <c r="K14">
        <v>4.2009999999999999E-2</v>
      </c>
      <c r="L14">
        <v>4.197E-2</v>
      </c>
      <c r="M14">
        <v>2.1080000000000002E-2</v>
      </c>
      <c r="N14">
        <v>4.1959999999999997E-2</v>
      </c>
      <c r="O14">
        <v>4.2840000000000003E-2</v>
      </c>
      <c r="P14">
        <v>2.1080000000000002E-2</v>
      </c>
      <c r="Q14">
        <v>4.2869999999999998E-2</v>
      </c>
    </row>
    <row r="15" spans="1:17" x14ac:dyDescent="0.25">
      <c r="A15" t="s">
        <v>86</v>
      </c>
      <c r="B15">
        <v>65</v>
      </c>
      <c r="C15">
        <v>4.8340000000000001E-2</v>
      </c>
      <c r="D15">
        <v>1.7000000000000001E-2</v>
      </c>
      <c r="E15">
        <v>4.8340000000000001E-2</v>
      </c>
      <c r="F15">
        <v>4.888E-2</v>
      </c>
      <c r="G15">
        <v>1.464E-2</v>
      </c>
      <c r="H15">
        <v>4.8910000000000002E-2</v>
      </c>
      <c r="I15">
        <v>4.7880000000000013E-2</v>
      </c>
      <c r="J15">
        <v>1.464E-2</v>
      </c>
      <c r="K15">
        <v>4.7919999999999997E-2</v>
      </c>
      <c r="L15">
        <v>4.7880000000000013E-2</v>
      </c>
      <c r="M15">
        <v>2.1499999999999998E-2</v>
      </c>
      <c r="N15">
        <v>4.7880000000000013E-2</v>
      </c>
      <c r="O15">
        <v>4.888E-2</v>
      </c>
      <c r="P15">
        <v>2.1499999999999998E-2</v>
      </c>
      <c r="Q15">
        <v>4.8920000000000012E-2</v>
      </c>
    </row>
    <row r="16" spans="1:17" x14ac:dyDescent="0.25">
      <c r="A16" t="s">
        <v>87</v>
      </c>
      <c r="B16">
        <v>70</v>
      </c>
      <c r="C16">
        <v>5.2069999999999998E-2</v>
      </c>
      <c r="D16">
        <v>1.6049999999999998E-2</v>
      </c>
      <c r="E16">
        <v>5.2060000000000002E-2</v>
      </c>
      <c r="F16">
        <v>5.2690000000000001E-2</v>
      </c>
      <c r="G16">
        <v>1.423E-2</v>
      </c>
      <c r="H16">
        <v>5.2699999999999997E-2</v>
      </c>
      <c r="I16">
        <v>5.1529999999999999E-2</v>
      </c>
      <c r="J16">
        <v>1.423E-2</v>
      </c>
      <c r="K16">
        <v>5.1540000000000002E-2</v>
      </c>
      <c r="L16">
        <v>5.1529999999999999E-2</v>
      </c>
      <c r="M16">
        <v>2.0570000000000001E-2</v>
      </c>
      <c r="N16">
        <v>5.1540000000000002E-2</v>
      </c>
      <c r="O16">
        <v>5.2690000000000001E-2</v>
      </c>
      <c r="P16">
        <v>2.0570000000000001E-2</v>
      </c>
      <c r="Q16">
        <v>5.2749999999999998E-2</v>
      </c>
    </row>
    <row r="17" spans="1:17" x14ac:dyDescent="0.25">
      <c r="A17" t="s">
        <v>88</v>
      </c>
      <c r="B17">
        <v>75</v>
      </c>
      <c r="C17">
        <v>5.9139999999999998E-2</v>
      </c>
      <c r="D17">
        <v>1.66E-2</v>
      </c>
      <c r="E17">
        <v>5.9130000000000002E-2</v>
      </c>
      <c r="F17">
        <v>5.987E-2</v>
      </c>
      <c r="G17">
        <v>1.4880000000000001E-2</v>
      </c>
      <c r="H17">
        <v>5.9889999999999999E-2</v>
      </c>
      <c r="I17">
        <v>5.849E-2</v>
      </c>
      <c r="J17">
        <v>1.4880000000000001E-2</v>
      </c>
      <c r="K17">
        <v>5.8520000000000003E-2</v>
      </c>
      <c r="L17">
        <v>5.849E-2</v>
      </c>
      <c r="M17">
        <v>2.1350000000000001E-2</v>
      </c>
      <c r="N17">
        <v>5.851E-2</v>
      </c>
      <c r="O17">
        <v>5.987E-2</v>
      </c>
      <c r="P17">
        <v>2.1350000000000001E-2</v>
      </c>
      <c r="Q17">
        <v>5.9929999999999997E-2</v>
      </c>
    </row>
    <row r="18" spans="1:17" x14ac:dyDescent="0.25">
      <c r="A18" t="s">
        <v>89</v>
      </c>
      <c r="B18">
        <v>80</v>
      </c>
      <c r="C18">
        <v>6.0260000000000001E-2</v>
      </c>
      <c r="D18">
        <v>1.7229999999999999E-2</v>
      </c>
      <c r="E18">
        <v>6.0260000000000001E-2</v>
      </c>
      <c r="F18">
        <v>6.1009999999999988E-2</v>
      </c>
      <c r="G18">
        <v>1.55E-2</v>
      </c>
      <c r="H18">
        <v>6.105E-2</v>
      </c>
      <c r="I18">
        <v>5.9589999999999997E-2</v>
      </c>
      <c r="J18">
        <v>1.55E-2</v>
      </c>
      <c r="K18">
        <v>5.9630000000000002E-2</v>
      </c>
      <c r="L18">
        <v>5.9589999999999997E-2</v>
      </c>
      <c r="M18">
        <v>2.2249999999999999E-2</v>
      </c>
      <c r="N18">
        <v>5.96E-2</v>
      </c>
      <c r="O18">
        <v>6.1009999999999988E-2</v>
      </c>
      <c r="P18">
        <v>2.2249999999999999E-2</v>
      </c>
      <c r="Q18">
        <v>6.1069999999999999E-2</v>
      </c>
    </row>
    <row r="19" spans="1:17" x14ac:dyDescent="0.25">
      <c r="A19" t="s">
        <v>90</v>
      </c>
      <c r="B19">
        <v>85</v>
      </c>
      <c r="C19">
        <v>6.497E-2</v>
      </c>
      <c r="D19">
        <v>1.899E-2</v>
      </c>
      <c r="E19">
        <v>6.495999999999999E-2</v>
      </c>
      <c r="F19">
        <v>6.583E-2</v>
      </c>
      <c r="G19">
        <v>1.7090000000000001E-2</v>
      </c>
      <c r="H19">
        <v>6.5849999999999992E-2</v>
      </c>
      <c r="I19">
        <v>6.4200000000000007E-2</v>
      </c>
      <c r="J19">
        <v>1.7090000000000001E-2</v>
      </c>
      <c r="K19">
        <v>6.4219999999999999E-2</v>
      </c>
      <c r="L19">
        <v>6.4200000000000007E-2</v>
      </c>
      <c r="M19">
        <v>2.4410000000000001E-2</v>
      </c>
      <c r="N19">
        <v>6.4219999999999999E-2</v>
      </c>
      <c r="O19">
        <v>6.583E-2</v>
      </c>
      <c r="P19">
        <v>2.4410000000000001E-2</v>
      </c>
      <c r="Q19">
        <v>6.5909999999999996E-2</v>
      </c>
    </row>
    <row r="20" spans="1:17" x14ac:dyDescent="0.25">
      <c r="A20" t="s">
        <v>91</v>
      </c>
      <c r="B20">
        <v>90</v>
      </c>
      <c r="C20">
        <v>7.3230000000000003E-2</v>
      </c>
      <c r="D20">
        <v>1.932E-2</v>
      </c>
      <c r="E20">
        <v>7.3230000000000003E-2</v>
      </c>
      <c r="F20">
        <v>7.4090000000000003E-2</v>
      </c>
      <c r="G20">
        <v>1.6969999999999999E-2</v>
      </c>
      <c r="H20">
        <v>7.4109999999999995E-2</v>
      </c>
      <c r="I20">
        <v>7.2440000000000004E-2</v>
      </c>
      <c r="J20">
        <v>1.6969999999999999E-2</v>
      </c>
      <c r="K20">
        <v>7.2459999999999997E-2</v>
      </c>
      <c r="L20">
        <v>7.2440000000000004E-2</v>
      </c>
      <c r="M20">
        <v>2.4840000000000001E-2</v>
      </c>
      <c r="N20">
        <v>7.2480000000000003E-2</v>
      </c>
      <c r="O20">
        <v>7.4090000000000003E-2</v>
      </c>
      <c r="P20">
        <v>2.4840000000000001E-2</v>
      </c>
      <c r="Q20">
        <v>7.4189999999999992E-2</v>
      </c>
    </row>
    <row r="22" spans="1:17" x14ac:dyDescent="0.25">
      <c r="A22" s="1" t="s">
        <v>70</v>
      </c>
      <c r="B22" s="1" t="s">
        <v>71</v>
      </c>
      <c r="C22" s="1" t="s">
        <v>72</v>
      </c>
    </row>
    <row r="23" spans="1:17" x14ac:dyDescent="0.25">
      <c r="A23">
        <v>6.7790000000000003E-2</v>
      </c>
      <c r="B23">
        <v>4.2500000000000003E-2</v>
      </c>
      <c r="C23">
        <v>6.8030000000000007E-2</v>
      </c>
    </row>
    <row r="24" spans="1:17" x14ac:dyDescent="0.25">
      <c r="A24">
        <v>6.5129999999999993E-2</v>
      </c>
      <c r="B24">
        <v>4.5420000000000002E-2</v>
      </c>
      <c r="C24">
        <v>6.5519999999999995E-2</v>
      </c>
    </row>
    <row r="25" spans="1:17" x14ac:dyDescent="0.25">
      <c r="A25">
        <v>6.472E-2</v>
      </c>
      <c r="B25">
        <v>4.4790000000000003E-2</v>
      </c>
      <c r="C25">
        <v>6.4909999999999995E-2</v>
      </c>
    </row>
    <row r="26" spans="1:17" x14ac:dyDescent="0.25">
      <c r="A26">
        <v>6.5409999999999996E-2</v>
      </c>
      <c r="B26">
        <v>4.6039999999999998E-2</v>
      </c>
      <c r="C26">
        <v>6.5619999999999998E-2</v>
      </c>
    </row>
    <row r="27" spans="1:17" x14ac:dyDescent="0.25">
      <c r="A27">
        <v>6.0900000000000003E-2</v>
      </c>
      <c r="B27">
        <v>4.6710000000000002E-2</v>
      </c>
      <c r="C27">
        <v>6.1400000000000003E-2</v>
      </c>
    </row>
    <row r="28" spans="1:17" x14ac:dyDescent="0.25">
      <c r="A28">
        <v>4.7239999999999997E-2</v>
      </c>
      <c r="B28">
        <v>4.0329999999999998E-2</v>
      </c>
      <c r="C28">
        <v>4.9689999999999998E-2</v>
      </c>
    </row>
    <row r="29" spans="1:17" x14ac:dyDescent="0.25">
      <c r="A29">
        <v>4.7489999999999997E-2</v>
      </c>
      <c r="B29">
        <v>3.3520000000000001E-2</v>
      </c>
      <c r="C29">
        <v>4.7659999999999987E-2</v>
      </c>
    </row>
    <row r="30" spans="1:17" x14ac:dyDescent="0.25">
      <c r="A30">
        <v>4.5269999999999998E-2</v>
      </c>
      <c r="B30">
        <v>2.9600000000000001E-2</v>
      </c>
      <c r="C30">
        <v>4.5439999999999987E-2</v>
      </c>
    </row>
    <row r="31" spans="1:17" x14ac:dyDescent="0.25">
      <c r="A31">
        <v>4.5770000000000012E-2</v>
      </c>
      <c r="B31">
        <v>2.512E-2</v>
      </c>
      <c r="C31">
        <v>4.5840000000000013E-2</v>
      </c>
    </row>
    <row r="32" spans="1:17" x14ac:dyDescent="0.25">
      <c r="A32">
        <v>5.042E-2</v>
      </c>
      <c r="B32">
        <v>2.4170000000000001E-2</v>
      </c>
      <c r="C32">
        <v>5.0500000000000003E-2</v>
      </c>
    </row>
    <row r="33" spans="1:3" x14ac:dyDescent="0.25">
      <c r="A33">
        <v>4.41E-2</v>
      </c>
      <c r="B33">
        <v>2.213E-2</v>
      </c>
      <c r="C33">
        <v>4.4150000000000002E-2</v>
      </c>
    </row>
    <row r="34" spans="1:3" x14ac:dyDescent="0.25">
      <c r="A34">
        <v>4.4420000000000001E-2</v>
      </c>
      <c r="B34">
        <v>2.0750000000000001E-2</v>
      </c>
      <c r="C34">
        <v>4.4429999999999997E-2</v>
      </c>
    </row>
    <row r="35" spans="1:3" x14ac:dyDescent="0.25">
      <c r="A35">
        <v>4.2840000000000003E-2</v>
      </c>
      <c r="B35">
        <v>2.1080000000000002E-2</v>
      </c>
      <c r="C35">
        <v>4.2869999999999998E-2</v>
      </c>
    </row>
    <row r="36" spans="1:3" x14ac:dyDescent="0.25">
      <c r="A36">
        <v>4.888E-2</v>
      </c>
      <c r="B36">
        <v>2.1499999999999998E-2</v>
      </c>
      <c r="C36">
        <v>4.8920000000000012E-2</v>
      </c>
    </row>
    <row r="37" spans="1:3" x14ac:dyDescent="0.25">
      <c r="A37">
        <v>5.2690000000000001E-2</v>
      </c>
      <c r="B37">
        <v>2.0570000000000001E-2</v>
      </c>
      <c r="C37">
        <v>5.2749999999999998E-2</v>
      </c>
    </row>
    <row r="38" spans="1:3" x14ac:dyDescent="0.25">
      <c r="A38">
        <v>5.987E-2</v>
      </c>
      <c r="B38">
        <v>2.1350000000000001E-2</v>
      </c>
      <c r="C38">
        <v>5.9929999999999997E-2</v>
      </c>
    </row>
    <row r="39" spans="1:3" x14ac:dyDescent="0.25">
      <c r="A39">
        <v>6.1009999999999988E-2</v>
      </c>
      <c r="B39">
        <v>2.2249999999999999E-2</v>
      </c>
      <c r="C39">
        <v>6.1069999999999999E-2</v>
      </c>
    </row>
    <row r="40" spans="1:3" x14ac:dyDescent="0.25">
      <c r="A40">
        <v>6.583E-2</v>
      </c>
      <c r="B40">
        <v>2.4410000000000001E-2</v>
      </c>
      <c r="C40">
        <v>6.5909999999999996E-2</v>
      </c>
    </row>
    <row r="41" spans="1:3" x14ac:dyDescent="0.25">
      <c r="A41">
        <v>7.4090000000000003E-2</v>
      </c>
      <c r="B41">
        <v>2.4840000000000001E-2</v>
      </c>
      <c r="C41">
        <v>7.4189999999999992E-2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6"/>
  <sheetViews>
    <sheetView topLeftCell="A7" zoomScaleNormal="100" workbookViewId="0">
      <selection activeCell="X21" sqref="X21"/>
    </sheetView>
  </sheetViews>
  <sheetFormatPr defaultRowHeight="14.4" x14ac:dyDescent="0.25"/>
  <sheetData>
    <row r="1" spans="1:10" x14ac:dyDescent="0.25">
      <c r="A1" t="s">
        <v>92</v>
      </c>
    </row>
    <row r="2" spans="1:10" x14ac:dyDescent="0.25">
      <c r="A2" t="s">
        <v>93</v>
      </c>
    </row>
    <row r="3" spans="1:10" x14ac:dyDescent="0.25">
      <c r="A3" t="s">
        <v>94</v>
      </c>
      <c r="B3" s="3" t="s">
        <v>95</v>
      </c>
      <c r="C3" s="4"/>
      <c r="D3" s="4"/>
      <c r="E3" s="3" t="s">
        <v>96</v>
      </c>
      <c r="F3" s="4"/>
      <c r="G3" s="4"/>
      <c r="H3" s="3" t="s">
        <v>97</v>
      </c>
      <c r="I3" s="4"/>
      <c r="J3" s="4"/>
    </row>
    <row r="4" spans="1:10" x14ac:dyDescent="0.25">
      <c r="A4" t="s">
        <v>98</v>
      </c>
      <c r="B4" t="s">
        <v>99</v>
      </c>
      <c r="C4" t="s">
        <v>100</v>
      </c>
      <c r="D4" t="s">
        <v>101</v>
      </c>
      <c r="E4" t="s">
        <v>99</v>
      </c>
      <c r="F4" t="s">
        <v>100</v>
      </c>
      <c r="G4" t="s">
        <v>101</v>
      </c>
      <c r="H4" t="s">
        <v>99</v>
      </c>
      <c r="I4" t="s">
        <v>100</v>
      </c>
      <c r="J4" t="s">
        <v>101</v>
      </c>
    </row>
    <row r="5" spans="1:10" x14ac:dyDescent="0.25">
      <c r="A5">
        <v>0</v>
      </c>
      <c r="B5">
        <v>0.14461754225656301</v>
      </c>
      <c r="C5">
        <v>0.22422937900353401</v>
      </c>
      <c r="D5">
        <v>0.22881801939514301</v>
      </c>
      <c r="E5">
        <f>'1-1_Acceleration'!A14</f>
        <v>6.473000000000001E-2</v>
      </c>
      <c r="F5">
        <f>'1-1_Acceleration'!B14</f>
        <v>0.12651000000000001</v>
      </c>
      <c r="G5">
        <f>'1-1_Acceleration'!C14</f>
        <v>0.12665999999999999</v>
      </c>
      <c r="H5">
        <f t="shared" ref="H5:H14" si="0">(E5-B5)/B5</f>
        <v>-0.55240561421543277</v>
      </c>
      <c r="I5">
        <f t="shared" ref="I5:I14" si="1">(F5-C5)/C5</f>
        <v>-0.43580096166610655</v>
      </c>
      <c r="J5">
        <f t="shared" ref="J5:J14" si="2">(G5-D5)/D5</f>
        <v>-0.44645967859169167</v>
      </c>
    </row>
    <row r="6" spans="1:10" x14ac:dyDescent="0.25">
      <c r="A6">
        <v>8.7266462599716502E-2</v>
      </c>
      <c r="B6">
        <v>0.14574383059780099</v>
      </c>
      <c r="C6">
        <v>0.23891485265779699</v>
      </c>
      <c r="D6">
        <v>0.242018594909096</v>
      </c>
      <c r="E6">
        <f>'1-1_Acceleration'!A15</f>
        <v>6.5329999999999999E-2</v>
      </c>
      <c r="F6">
        <f>'1-1_Acceleration'!B15</f>
        <v>0.14549999999999999</v>
      </c>
      <c r="G6">
        <f>'1-1_Acceleration'!C15</f>
        <v>0.14582000000000001</v>
      </c>
      <c r="H6">
        <f t="shared" si="0"/>
        <v>-0.55174774992509557</v>
      </c>
      <c r="I6">
        <f t="shared" si="1"/>
        <v>-0.39099642244342653</v>
      </c>
      <c r="J6">
        <f t="shared" si="2"/>
        <v>-0.39748431291086911</v>
      </c>
    </row>
    <row r="7" spans="1:10" x14ac:dyDescent="0.25">
      <c r="A7">
        <v>0.174532925199433</v>
      </c>
      <c r="B7">
        <v>0.123218319821101</v>
      </c>
      <c r="C7">
        <v>0.195550423711429</v>
      </c>
      <c r="D7">
        <v>0.19790102555998401</v>
      </c>
      <c r="E7">
        <f>'1-1_Acceleration'!A16</f>
        <v>5.5469999999999998E-2</v>
      </c>
      <c r="F7">
        <f>'1-1_Acceleration'!B16</f>
        <v>0.13295999999999999</v>
      </c>
      <c r="G7">
        <f>'1-1_Acceleration'!C16</f>
        <v>0.13320000000000001</v>
      </c>
      <c r="H7">
        <f t="shared" si="0"/>
        <v>-0.54982343469269712</v>
      </c>
      <c r="I7">
        <f t="shared" si="1"/>
        <v>-0.32007306618671821</v>
      </c>
      <c r="J7">
        <f t="shared" si="2"/>
        <v>-0.32693628230023014</v>
      </c>
    </row>
    <row r="8" spans="1:10" x14ac:dyDescent="0.25">
      <c r="A8">
        <v>0.26179938779914902</v>
      </c>
      <c r="B8">
        <v>0.119190932832967</v>
      </c>
      <c r="C8">
        <v>0.19996638206058301</v>
      </c>
      <c r="D8">
        <v>0.201287478382664</v>
      </c>
      <c r="E8">
        <f>'1-1_Acceleration'!A17</f>
        <v>6.0409999999999998E-2</v>
      </c>
      <c r="F8">
        <f>'1-1_Acceleration'!B17</f>
        <v>0.11895</v>
      </c>
      <c r="G8">
        <f>'1-1_Acceleration'!C17</f>
        <v>0.11928999999999999</v>
      </c>
      <c r="H8">
        <f t="shared" si="0"/>
        <v>-0.49316614473805676</v>
      </c>
      <c r="I8">
        <f t="shared" si="1"/>
        <v>-0.40515001184568017</v>
      </c>
      <c r="J8">
        <f t="shared" si="2"/>
        <v>-0.40736502360459836</v>
      </c>
    </row>
    <row r="9" spans="1:10" x14ac:dyDescent="0.25">
      <c r="A9">
        <v>0.34906585039886601</v>
      </c>
      <c r="B9">
        <v>0.105740550632465</v>
      </c>
      <c r="C9">
        <v>0.14722937110335699</v>
      </c>
      <c r="D9">
        <v>0.150365553159441</v>
      </c>
      <c r="E9">
        <f>'1-1_Acceleration'!A18</f>
        <v>5.0700000000000002E-2</v>
      </c>
      <c r="F9">
        <f>'1-1_Acceleration'!B18</f>
        <v>9.9890000000000007E-2</v>
      </c>
      <c r="G9">
        <f>'1-1_Acceleration'!C18</f>
        <v>0.10031</v>
      </c>
      <c r="H9">
        <f t="shared" si="0"/>
        <v>-0.52052453201020277</v>
      </c>
      <c r="I9">
        <f t="shared" si="1"/>
        <v>-0.32153483200117799</v>
      </c>
      <c r="J9">
        <f t="shared" si="2"/>
        <v>-0.33289242188577794</v>
      </c>
    </row>
    <row r="10" spans="1:10" x14ac:dyDescent="0.25">
      <c r="A10">
        <v>0.43633231299858199</v>
      </c>
      <c r="B10">
        <v>0.113151330133636</v>
      </c>
      <c r="C10">
        <v>0.11653426316692</v>
      </c>
      <c r="D10">
        <v>0.129943884511105</v>
      </c>
      <c r="E10">
        <f>'1-1_Acceleration'!A19</f>
        <v>5.1580000000000001E-2</v>
      </c>
      <c r="F10">
        <f>'1-1_Acceleration'!B19</f>
        <v>8.2049999999999998E-2</v>
      </c>
      <c r="G10">
        <f>'1-1_Acceleration'!C19</f>
        <v>8.2430000000000003E-2</v>
      </c>
      <c r="H10">
        <f t="shared" si="0"/>
        <v>-0.54415029908104418</v>
      </c>
      <c r="I10">
        <f t="shared" si="1"/>
        <v>-0.29591522896168171</v>
      </c>
      <c r="J10">
        <f t="shared" si="2"/>
        <v>-0.36564925459839137</v>
      </c>
    </row>
    <row r="11" spans="1:10" x14ac:dyDescent="0.25">
      <c r="A11">
        <v>0.52359877559829904</v>
      </c>
      <c r="B11">
        <v>0.10481180814546701</v>
      </c>
      <c r="C11">
        <v>0.12734449340182</v>
      </c>
      <c r="D11">
        <v>0.13194455836051999</v>
      </c>
      <c r="E11">
        <f>'1-1_Acceleration'!A20</f>
        <v>5.0549999999999998E-2</v>
      </c>
      <c r="F11">
        <f>'1-1_Acceleration'!B20</f>
        <v>8.2180000000000003E-2</v>
      </c>
      <c r="G11">
        <f>'1-1_Acceleration'!C20</f>
        <v>8.2450000000000009E-2</v>
      </c>
      <c r="H11">
        <f t="shared" si="0"/>
        <v>-0.51770701322276325</v>
      </c>
      <c r="I11">
        <f t="shared" si="1"/>
        <v>-0.3546638900145368</v>
      </c>
      <c r="J11">
        <f t="shared" si="2"/>
        <v>-0.37511632897571301</v>
      </c>
    </row>
    <row r="12" spans="1:10" x14ac:dyDescent="0.25">
      <c r="A12">
        <v>0.61086523819801497</v>
      </c>
      <c r="B12">
        <v>0.11044656620889901</v>
      </c>
      <c r="C12">
        <v>0.114415712852866</v>
      </c>
      <c r="D12">
        <v>0.12722112864763599</v>
      </c>
      <c r="E12">
        <f>'1-1_Acceleration'!A21</f>
        <v>5.6030000000000003E-2</v>
      </c>
      <c r="F12">
        <f>'1-1_Acceleration'!B21</f>
        <v>7.331E-2</v>
      </c>
      <c r="G12">
        <f>'1-1_Acceleration'!C21</f>
        <v>7.392E-2</v>
      </c>
      <c r="H12">
        <f t="shared" si="0"/>
        <v>-0.49269586259454484</v>
      </c>
      <c r="I12">
        <f t="shared" si="1"/>
        <v>-0.35926632652043422</v>
      </c>
      <c r="J12">
        <f t="shared" si="2"/>
        <v>-0.41896443785893439</v>
      </c>
    </row>
    <row r="13" spans="1:10" x14ac:dyDescent="0.25">
      <c r="A13">
        <v>0.69813170079773201</v>
      </c>
      <c r="B13">
        <v>0.102752485148652</v>
      </c>
      <c r="C13">
        <v>9.6404404302761398E-2</v>
      </c>
      <c r="D13">
        <v>0.112717366536148</v>
      </c>
      <c r="E13">
        <f>'1-1_Acceleration'!A22</f>
        <v>5.5390000000000002E-2</v>
      </c>
      <c r="F13">
        <f>'1-1_Acceleration'!B22</f>
        <v>6.5790000000000001E-2</v>
      </c>
      <c r="G13">
        <f>'1-1_Acceleration'!C22</f>
        <v>6.8790000000000004E-2</v>
      </c>
      <c r="H13">
        <f t="shared" si="0"/>
        <v>-0.46093761216707019</v>
      </c>
      <c r="I13">
        <f t="shared" si="1"/>
        <v>-0.31756229940092562</v>
      </c>
      <c r="J13">
        <f t="shared" si="2"/>
        <v>-0.38971249849117678</v>
      </c>
    </row>
    <row r="14" spans="1:10" x14ac:dyDescent="0.25">
      <c r="A14">
        <v>0.78539816339744795</v>
      </c>
      <c r="B14">
        <v>9.72536592135958E-2</v>
      </c>
      <c r="C14">
        <v>0.10631356936144</v>
      </c>
      <c r="D14">
        <v>0.115269005057364</v>
      </c>
      <c r="E14">
        <f>'1-1_Acceleration'!A23</f>
        <v>5.3330000000000002E-2</v>
      </c>
      <c r="F14">
        <f>'1-1_Acceleration'!B23</f>
        <v>6.5420000000000006E-2</v>
      </c>
      <c r="G14">
        <f>'1-1_Acceleration'!C23</f>
        <v>6.7519999999999997E-2</v>
      </c>
      <c r="H14">
        <f t="shared" si="0"/>
        <v>-0.4516401703418414</v>
      </c>
      <c r="I14">
        <f t="shared" si="1"/>
        <v>-0.38465051645864612</v>
      </c>
      <c r="J14">
        <f t="shared" si="2"/>
        <v>-0.41423976058092593</v>
      </c>
    </row>
    <row r="15" spans="1:10" x14ac:dyDescent="0.25">
      <c r="A15">
        <v>0.87266462599716499</v>
      </c>
      <c r="B15">
        <v>9.6404404302761398E-2</v>
      </c>
      <c r="C15">
        <v>0.102752485148652</v>
      </c>
      <c r="D15">
        <v>0.112717366536148</v>
      </c>
    </row>
    <row r="16" spans="1:10" x14ac:dyDescent="0.25">
      <c r="A16">
        <v>0.95993108859688103</v>
      </c>
      <c r="B16">
        <v>0.114415712852866</v>
      </c>
      <c r="C16">
        <v>0.11044656620889901</v>
      </c>
      <c r="D16">
        <v>0.12722112864763599</v>
      </c>
    </row>
    <row r="17" spans="1:10" x14ac:dyDescent="0.25">
      <c r="A17">
        <v>1.0471975511966001</v>
      </c>
      <c r="B17">
        <v>0.12734449340182</v>
      </c>
      <c r="C17">
        <v>0.10481180814546701</v>
      </c>
      <c r="D17">
        <v>0.13194455836051999</v>
      </c>
    </row>
    <row r="18" spans="1:10" x14ac:dyDescent="0.25">
      <c r="A18">
        <v>1.13446401379631</v>
      </c>
      <c r="B18">
        <v>0.11653426316692</v>
      </c>
      <c r="C18">
        <v>0.113151330133636</v>
      </c>
      <c r="D18">
        <v>0.129943884511105</v>
      </c>
    </row>
    <row r="19" spans="1:10" x14ac:dyDescent="0.25">
      <c r="A19">
        <v>1.2217304763960299</v>
      </c>
      <c r="B19">
        <v>0.14722937110335699</v>
      </c>
      <c r="C19">
        <v>0.105740550632465</v>
      </c>
      <c r="D19">
        <v>0.150365553159441</v>
      </c>
    </row>
    <row r="20" spans="1:10" x14ac:dyDescent="0.25">
      <c r="A20">
        <v>1.3089969389957501</v>
      </c>
      <c r="B20">
        <v>0.19996638206058301</v>
      </c>
      <c r="C20">
        <v>0.119190932832967</v>
      </c>
      <c r="D20">
        <v>0.201287478382664</v>
      </c>
    </row>
    <row r="21" spans="1:10" x14ac:dyDescent="0.25">
      <c r="A21">
        <v>1.39626340159546</v>
      </c>
      <c r="B21">
        <v>0.195550423711429</v>
      </c>
      <c r="C21">
        <v>0.123218319821101</v>
      </c>
      <c r="D21">
        <v>0.19790102555998401</v>
      </c>
    </row>
    <row r="22" spans="1:10" x14ac:dyDescent="0.25">
      <c r="A22">
        <v>1.48352986419518</v>
      </c>
      <c r="B22">
        <v>0.23891485265779699</v>
      </c>
      <c r="C22">
        <v>0.14574383059780099</v>
      </c>
      <c r="D22">
        <v>0.242018594909096</v>
      </c>
    </row>
    <row r="23" spans="1:10" x14ac:dyDescent="0.25">
      <c r="A23">
        <v>1.5707963267949001</v>
      </c>
      <c r="B23">
        <v>0.22422937900353401</v>
      </c>
      <c r="C23">
        <v>0.14461754225656301</v>
      </c>
      <c r="D23">
        <v>0.22881801939514301</v>
      </c>
    </row>
    <row r="27" spans="1:10" x14ac:dyDescent="0.25">
      <c r="A27" t="s">
        <v>102</v>
      </c>
    </row>
    <row r="28" spans="1:10" x14ac:dyDescent="0.25">
      <c r="A28" t="s">
        <v>94</v>
      </c>
      <c r="B28" t="s">
        <v>95</v>
      </c>
      <c r="E28" t="s">
        <v>96</v>
      </c>
      <c r="H28" t="s">
        <v>97</v>
      </c>
    </row>
    <row r="29" spans="1:10" x14ac:dyDescent="0.25">
      <c r="A29" t="s">
        <v>98</v>
      </c>
      <c r="B29" t="s">
        <v>99</v>
      </c>
      <c r="C29" t="s">
        <v>100</v>
      </c>
      <c r="D29" t="s">
        <v>101</v>
      </c>
      <c r="E29" t="s">
        <v>99</v>
      </c>
      <c r="F29" t="s">
        <v>100</v>
      </c>
      <c r="G29" t="s">
        <v>101</v>
      </c>
      <c r="H29" t="s">
        <v>99</v>
      </c>
      <c r="I29" t="s">
        <v>100</v>
      </c>
      <c r="J29" t="s">
        <v>101</v>
      </c>
    </row>
    <row r="30" spans="1:10" x14ac:dyDescent="0.25">
      <c r="A30">
        <v>0</v>
      </c>
      <c r="B30">
        <v>0.13223209299999999</v>
      </c>
      <c r="C30">
        <v>9.5521892999999997E-2</v>
      </c>
      <c r="D30">
        <v>0.13761963699999999</v>
      </c>
      <c r="E30">
        <f>'2-1_Acceleration'!A23</f>
        <v>8.7139999999999995E-2</v>
      </c>
      <c r="F30">
        <f>'2-1_Acceleration'!B23</f>
        <v>6.9879999999999998E-2</v>
      </c>
      <c r="G30">
        <f>'2-1_Acceleration'!C23</f>
        <v>9.1069999999999998E-2</v>
      </c>
      <c r="H30">
        <f t="shared" ref="H30:H48" si="3">(E30-B30)/B30</f>
        <v>-0.34100717894558319</v>
      </c>
      <c r="I30">
        <f t="shared" ref="I30:I48" si="4">(F30-C30)/C30</f>
        <v>-0.26843995857577907</v>
      </c>
      <c r="J30">
        <f t="shared" ref="J30:J48" si="5">(G30-D30)/D30</f>
        <v>-0.33824850882290869</v>
      </c>
    </row>
    <row r="31" spans="1:10" x14ac:dyDescent="0.25">
      <c r="A31">
        <v>8.7266463000000002E-2</v>
      </c>
      <c r="B31">
        <v>0.121683868</v>
      </c>
      <c r="C31">
        <v>9.7854450999999995E-2</v>
      </c>
      <c r="D31">
        <v>0.12609626900000001</v>
      </c>
      <c r="E31">
        <f>'2-1_Acceleration'!A24</f>
        <v>7.3819999999999997E-2</v>
      </c>
      <c r="F31">
        <f>'2-1_Acceleration'!B24</f>
        <v>6.9889999999999994E-2</v>
      </c>
      <c r="G31">
        <f>'2-1_Acceleration'!C24</f>
        <v>8.131999999999999E-2</v>
      </c>
      <c r="H31">
        <f t="shared" si="3"/>
        <v>-0.39334604320763378</v>
      </c>
      <c r="I31">
        <f t="shared" si="4"/>
        <v>-0.28577597354258316</v>
      </c>
      <c r="J31">
        <f t="shared" si="5"/>
        <v>-0.35509590692171883</v>
      </c>
    </row>
    <row r="32" spans="1:10" x14ac:dyDescent="0.25">
      <c r="A32">
        <v>0.17453292500000001</v>
      </c>
      <c r="B32">
        <v>0.12946930800000001</v>
      </c>
      <c r="C32">
        <v>9.8119680000000001E-2</v>
      </c>
      <c r="D32">
        <v>0.13483157900000001</v>
      </c>
      <c r="E32">
        <f>'2-1_Acceleration'!A25</f>
        <v>9.0029999999999999E-2</v>
      </c>
      <c r="F32">
        <f>'2-1_Acceleration'!B25</f>
        <v>7.1169999999999997E-2</v>
      </c>
      <c r="G32">
        <f>'2-1_Acceleration'!C25</f>
        <v>9.3310000000000004E-2</v>
      </c>
      <c r="H32">
        <f t="shared" si="3"/>
        <v>-0.30462283771532944</v>
      </c>
      <c r="I32">
        <f t="shared" si="4"/>
        <v>-0.27466131157378421</v>
      </c>
      <c r="J32">
        <f t="shared" si="5"/>
        <v>-0.30795144066361485</v>
      </c>
    </row>
    <row r="33" spans="1:10" x14ac:dyDescent="0.25">
      <c r="A33">
        <v>0.26179938800000002</v>
      </c>
      <c r="B33">
        <v>0.119927643</v>
      </c>
      <c r="C33">
        <v>9.0768804999999994E-2</v>
      </c>
      <c r="D33">
        <v>0.125383893</v>
      </c>
      <c r="E33">
        <f>'2-1_Acceleration'!A26</f>
        <v>7.3319999999999996E-2</v>
      </c>
      <c r="F33">
        <f>'2-1_Acceleration'!B26</f>
        <v>6.7080000000000001E-2</v>
      </c>
      <c r="G33">
        <f>'2-1_Acceleration'!C26</f>
        <v>7.9489999999999991E-2</v>
      </c>
      <c r="H33">
        <f t="shared" si="3"/>
        <v>-0.3886313599942926</v>
      </c>
      <c r="I33">
        <f t="shared" si="4"/>
        <v>-0.26097958434067736</v>
      </c>
      <c r="J33">
        <f t="shared" si="5"/>
        <v>-0.36602702230660528</v>
      </c>
    </row>
    <row r="34" spans="1:10" x14ac:dyDescent="0.25">
      <c r="A34">
        <v>0.34906585000000001</v>
      </c>
      <c r="B34">
        <v>0.124606461</v>
      </c>
      <c r="C34">
        <v>9.2318127999999999E-2</v>
      </c>
      <c r="D34">
        <v>0.12927704000000001</v>
      </c>
      <c r="E34">
        <f>'2-1_Acceleration'!A27</f>
        <v>7.887000000000001E-2</v>
      </c>
      <c r="F34">
        <f>'2-1_Acceleration'!B27</f>
        <v>6.2869999999999995E-2</v>
      </c>
      <c r="G34">
        <f>'2-1_Acceleration'!C27</f>
        <v>8.1220000000000001E-2</v>
      </c>
      <c r="H34">
        <f t="shared" si="3"/>
        <v>-0.36704726731625892</v>
      </c>
      <c r="I34">
        <f t="shared" si="4"/>
        <v>-0.31898532431246879</v>
      </c>
      <c r="J34">
        <f t="shared" si="5"/>
        <v>-0.37173685288586439</v>
      </c>
    </row>
    <row r="35" spans="1:10" x14ac:dyDescent="0.25">
      <c r="A35">
        <v>0.43633231300000003</v>
      </c>
      <c r="B35">
        <v>0.10421169700000001</v>
      </c>
      <c r="C35">
        <v>7.1819293000000006E-2</v>
      </c>
      <c r="D35">
        <v>0.107871893</v>
      </c>
      <c r="E35">
        <f>'2-1_Acceleration'!A28</f>
        <v>6.4899999999999999E-2</v>
      </c>
      <c r="F35">
        <f>'2-1_Acceleration'!B28</f>
        <v>5.7540000000000001E-2</v>
      </c>
      <c r="G35">
        <f>'2-1_Acceleration'!C28</f>
        <v>6.9379999999999997E-2</v>
      </c>
      <c r="H35">
        <f t="shared" si="3"/>
        <v>-0.37722921832853373</v>
      </c>
      <c r="I35">
        <f t="shared" si="4"/>
        <v>-0.19882252252190794</v>
      </c>
      <c r="J35">
        <f t="shared" si="5"/>
        <v>-0.35682967944207672</v>
      </c>
    </row>
    <row r="36" spans="1:10" x14ac:dyDescent="0.25">
      <c r="A36">
        <v>0.52359877600000004</v>
      </c>
      <c r="B36">
        <v>9.6632271000000006E-2</v>
      </c>
      <c r="C36">
        <v>6.6401017000000007E-2</v>
      </c>
      <c r="D36">
        <v>9.9507069000000004E-2</v>
      </c>
      <c r="E36">
        <f>'2-1_Acceleration'!A29</f>
        <v>6.2270000000000013E-2</v>
      </c>
      <c r="F36">
        <f>'2-1_Acceleration'!B29</f>
        <v>5.2139999999999999E-2</v>
      </c>
      <c r="G36">
        <f>'2-1_Acceleration'!C29</f>
        <v>6.5769999999999995E-2</v>
      </c>
      <c r="H36">
        <f t="shared" si="3"/>
        <v>-0.35559829697058443</v>
      </c>
      <c r="I36">
        <f t="shared" si="4"/>
        <v>-0.21477106291911172</v>
      </c>
      <c r="J36">
        <f t="shared" si="5"/>
        <v>-0.33904193278971978</v>
      </c>
    </row>
    <row r="37" spans="1:10" x14ac:dyDescent="0.25">
      <c r="A37">
        <v>0.61086523800000003</v>
      </c>
      <c r="B37">
        <v>9.6736048000000005E-2</v>
      </c>
      <c r="C37">
        <v>5.8162268000000003E-2</v>
      </c>
      <c r="D37">
        <v>9.8793607000000006E-2</v>
      </c>
      <c r="E37">
        <f>'2-1_Acceleration'!A30</f>
        <v>5.6509999999999998E-2</v>
      </c>
      <c r="F37">
        <f>'2-1_Acceleration'!B30</f>
        <v>3.9409999999999987E-2</v>
      </c>
      <c r="G37">
        <f>'2-1_Acceleration'!C30</f>
        <v>5.808E-2</v>
      </c>
      <c r="H37">
        <f t="shared" si="3"/>
        <v>-0.41583307186582613</v>
      </c>
      <c r="I37">
        <f t="shared" si="4"/>
        <v>-0.32241294304410578</v>
      </c>
      <c r="J37">
        <f t="shared" si="5"/>
        <v>-0.41210770854838819</v>
      </c>
    </row>
    <row r="38" spans="1:10" x14ac:dyDescent="0.25">
      <c r="A38">
        <v>0.69813170099999999</v>
      </c>
      <c r="B38">
        <v>8.3372399999999999E-2</v>
      </c>
      <c r="C38">
        <v>5.6316040999999997E-2</v>
      </c>
      <c r="D38">
        <v>8.6108604000000005E-2</v>
      </c>
      <c r="E38">
        <f>'2-1_Acceleration'!A31</f>
        <v>5.2470000000000003E-2</v>
      </c>
      <c r="F38">
        <f>'2-1_Acceleration'!B31</f>
        <v>3.8490000000000003E-2</v>
      </c>
      <c r="G38">
        <f>'2-1_Acceleration'!C31</f>
        <v>5.3900000000000003E-2</v>
      </c>
      <c r="H38">
        <f t="shared" si="3"/>
        <v>-0.3706550369186925</v>
      </c>
      <c r="I38">
        <f t="shared" si="4"/>
        <v>-0.31653576287438234</v>
      </c>
      <c r="J38">
        <f t="shared" si="5"/>
        <v>-0.37404629158777208</v>
      </c>
    </row>
    <row r="39" spans="1:10" x14ac:dyDescent="0.25">
      <c r="A39">
        <v>0.78539816299999998</v>
      </c>
      <c r="B39">
        <v>8.2268566000000001E-2</v>
      </c>
      <c r="C39">
        <v>4.9343469000000001E-2</v>
      </c>
      <c r="D39">
        <v>8.4053220999999997E-2</v>
      </c>
      <c r="E39">
        <f>'2-1_Acceleration'!A32</f>
        <v>5.3999999999999999E-2</v>
      </c>
      <c r="F39">
        <f>'2-1_Acceleration'!B32</f>
        <v>3.678E-2</v>
      </c>
      <c r="G39">
        <f>'2-1_Acceleration'!C32</f>
        <v>5.5100000000000003E-2</v>
      </c>
      <c r="H39">
        <f t="shared" si="3"/>
        <v>-0.3436132094486733</v>
      </c>
      <c r="I39">
        <f t="shared" si="4"/>
        <v>-0.25461260131507985</v>
      </c>
      <c r="J39">
        <f t="shared" si="5"/>
        <v>-0.34446295639283109</v>
      </c>
    </row>
    <row r="40" spans="1:10" x14ac:dyDescent="0.25">
      <c r="A40">
        <v>0.87266462600000005</v>
      </c>
      <c r="B40">
        <v>8.3951696000000006E-2</v>
      </c>
      <c r="C40">
        <v>5.5538905999999999E-2</v>
      </c>
      <c r="D40">
        <v>8.6621157000000004E-2</v>
      </c>
      <c r="E40">
        <f>'2-1_Acceleration'!A33</f>
        <v>6.1100000000000002E-2</v>
      </c>
      <c r="F40">
        <f>'2-1_Acceleration'!B33</f>
        <v>3.1719999999999998E-2</v>
      </c>
      <c r="G40">
        <f>'2-1_Acceleration'!C33</f>
        <v>6.164E-2</v>
      </c>
      <c r="H40">
        <f t="shared" si="3"/>
        <v>-0.2722005282656827</v>
      </c>
      <c r="I40">
        <f t="shared" si="4"/>
        <v>-0.4288688365593662</v>
      </c>
      <c r="J40">
        <f t="shared" si="5"/>
        <v>-0.28839555906647613</v>
      </c>
    </row>
    <row r="41" spans="1:10" x14ac:dyDescent="0.25">
      <c r="A41">
        <v>0.95993108900000002</v>
      </c>
      <c r="B41">
        <v>8.8765075999999998E-2</v>
      </c>
      <c r="C41">
        <v>4.7363952000000001E-2</v>
      </c>
      <c r="D41">
        <v>9.0717792000000005E-2</v>
      </c>
      <c r="E41">
        <f>'2-1_Acceleration'!A34</f>
        <v>6.404E-2</v>
      </c>
      <c r="F41">
        <f>'2-1_Acceleration'!B34</f>
        <v>3.1949999999999999E-2</v>
      </c>
      <c r="G41">
        <f>'2-1_Acceleration'!C34</f>
        <v>6.4899999999999999E-2</v>
      </c>
      <c r="H41">
        <f t="shared" si="3"/>
        <v>-0.27854508906182879</v>
      </c>
      <c r="I41">
        <f t="shared" si="4"/>
        <v>-0.32543635716884439</v>
      </c>
      <c r="J41">
        <f t="shared" si="5"/>
        <v>-0.28459458096158252</v>
      </c>
    </row>
    <row r="42" spans="1:10" x14ac:dyDescent="0.25">
      <c r="A42">
        <v>1.047197551</v>
      </c>
      <c r="B42">
        <v>8.8701158000000002E-2</v>
      </c>
      <c r="C42">
        <v>5.1556794000000003E-2</v>
      </c>
      <c r="D42">
        <v>9.1220534000000006E-2</v>
      </c>
      <c r="E42">
        <f>'2-1_Acceleration'!A35</f>
        <v>7.0550000000000002E-2</v>
      </c>
      <c r="F42">
        <f>'2-1_Acceleration'!B35</f>
        <v>3.3619999999999997E-2</v>
      </c>
      <c r="G42">
        <f>'2-1_Acceleration'!C35</f>
        <v>7.1510000000000004E-2</v>
      </c>
      <c r="H42">
        <f t="shared" si="3"/>
        <v>-0.20463270614798512</v>
      </c>
      <c r="I42">
        <f t="shared" si="4"/>
        <v>-0.347903595401995</v>
      </c>
      <c r="J42">
        <f t="shared" si="5"/>
        <v>-0.21607562613040612</v>
      </c>
    </row>
    <row r="43" spans="1:10" x14ac:dyDescent="0.25">
      <c r="A43">
        <v>1.134464014</v>
      </c>
      <c r="B43">
        <v>0.108524897</v>
      </c>
      <c r="C43">
        <v>5.3694586000000002E-2</v>
      </c>
      <c r="D43">
        <v>0.111301978</v>
      </c>
      <c r="E43">
        <f>'2-1_Acceleration'!A36</f>
        <v>7.0150000000000004E-2</v>
      </c>
      <c r="F43">
        <f>'2-1_Acceleration'!B36</f>
        <v>3.0939999999999999E-2</v>
      </c>
      <c r="G43">
        <f>'2-1_Acceleration'!C36</f>
        <v>7.0870000000000002E-2</v>
      </c>
      <c r="H43">
        <f t="shared" si="3"/>
        <v>-0.35360454661385204</v>
      </c>
      <c r="I43">
        <f t="shared" si="4"/>
        <v>-0.42377803229547206</v>
      </c>
      <c r="J43">
        <f t="shared" si="5"/>
        <v>-0.36326378674060938</v>
      </c>
    </row>
    <row r="44" spans="1:10" x14ac:dyDescent="0.25">
      <c r="A44">
        <v>1.2217304760000001</v>
      </c>
      <c r="B44">
        <v>0.102688188</v>
      </c>
      <c r="C44">
        <v>5.3583073000000002E-2</v>
      </c>
      <c r="D44">
        <v>0.107157216</v>
      </c>
      <c r="E44">
        <f>'2-1_Acceleration'!A37</f>
        <v>6.5799999999999997E-2</v>
      </c>
      <c r="F44">
        <f>'2-1_Acceleration'!B37</f>
        <v>3.2000000000000001E-2</v>
      </c>
      <c r="G44">
        <f>'2-1_Acceleration'!C37</f>
        <v>6.6670000000000007E-2</v>
      </c>
      <c r="H44">
        <f t="shared" si="3"/>
        <v>-0.35922523046175481</v>
      </c>
      <c r="I44">
        <f t="shared" si="4"/>
        <v>-0.40279647641709537</v>
      </c>
      <c r="J44">
        <f t="shared" si="5"/>
        <v>-0.3778300473950349</v>
      </c>
    </row>
    <row r="45" spans="1:10" x14ac:dyDescent="0.25">
      <c r="A45">
        <v>1.308996939</v>
      </c>
      <c r="B45">
        <v>0.117323212</v>
      </c>
      <c r="C45">
        <v>5.9746398999999999E-2</v>
      </c>
      <c r="D45">
        <v>0.122005851</v>
      </c>
      <c r="E45">
        <f>'2-1_Acceleration'!A38</f>
        <v>8.1140000000000004E-2</v>
      </c>
      <c r="F45">
        <f>'2-1_Acceleration'!B38</f>
        <v>3.4660000000000003E-2</v>
      </c>
      <c r="G45">
        <f>'2-1_Acceleration'!C38</f>
        <v>8.201E-2</v>
      </c>
      <c r="H45">
        <f t="shared" si="3"/>
        <v>-0.3084062512710613</v>
      </c>
      <c r="I45">
        <f t="shared" si="4"/>
        <v>-0.41988135552738493</v>
      </c>
      <c r="J45">
        <f t="shared" si="5"/>
        <v>-0.32781912237963079</v>
      </c>
    </row>
    <row r="46" spans="1:10" x14ac:dyDescent="0.25">
      <c r="A46">
        <v>1.396263402</v>
      </c>
      <c r="B46">
        <v>0.12884901300000001</v>
      </c>
      <c r="C46">
        <v>6.9169681999999996E-2</v>
      </c>
      <c r="D46">
        <v>0.135388114</v>
      </c>
      <c r="E46">
        <f>'2-1_Acceleration'!A39</f>
        <v>8.5720000000000005E-2</v>
      </c>
      <c r="F46">
        <f>'2-1_Acceleration'!B39</f>
        <v>3.9399999999999998E-2</v>
      </c>
      <c r="G46">
        <f>'2-1_Acceleration'!C39</f>
        <v>8.6609999999999993E-2</v>
      </c>
      <c r="H46">
        <f t="shared" si="3"/>
        <v>-0.33472521050665716</v>
      </c>
      <c r="I46">
        <f t="shared" si="4"/>
        <v>-0.43038627819627678</v>
      </c>
      <c r="J46">
        <f t="shared" si="5"/>
        <v>-0.36028357703542579</v>
      </c>
    </row>
    <row r="47" spans="1:10" x14ac:dyDescent="0.25">
      <c r="A47">
        <v>1.4835298640000001</v>
      </c>
      <c r="B47">
        <v>0.17299767199999999</v>
      </c>
      <c r="C47">
        <v>7.9331409000000006E-2</v>
      </c>
      <c r="D47">
        <v>0.182908398</v>
      </c>
      <c r="E47">
        <f>'2-1_Acceleration'!A40</f>
        <v>8.7459999999999996E-2</v>
      </c>
      <c r="F47">
        <f>'2-1_Acceleration'!B40</f>
        <v>4.2610000000000002E-2</v>
      </c>
      <c r="G47">
        <f>'2-1_Acceleration'!C40</f>
        <v>8.8439999999999991E-2</v>
      </c>
      <c r="H47">
        <f t="shared" si="3"/>
        <v>-0.49444406396405149</v>
      </c>
      <c r="I47">
        <f t="shared" si="4"/>
        <v>-0.46288613126737738</v>
      </c>
      <c r="J47">
        <f t="shared" si="5"/>
        <v>-0.51647928161286505</v>
      </c>
    </row>
    <row r="48" spans="1:10" x14ac:dyDescent="0.25">
      <c r="A48">
        <v>1.570796327</v>
      </c>
      <c r="B48">
        <v>0.16496813900000001</v>
      </c>
      <c r="C48">
        <v>8.6099365999999997E-2</v>
      </c>
      <c r="D48">
        <v>0.175746287</v>
      </c>
      <c r="E48">
        <f>'2-1_Acceleration'!A41</f>
        <v>9.126999999999999E-2</v>
      </c>
      <c r="F48">
        <f>'2-1_Acceleration'!B41</f>
        <v>4.4650000000000002E-2</v>
      </c>
      <c r="G48">
        <f>'2-1_Acceleration'!C41</f>
        <v>9.2499999999999999E-2</v>
      </c>
      <c r="H48">
        <f t="shared" si="3"/>
        <v>-0.44674165233809188</v>
      </c>
      <c r="I48">
        <f t="shared" si="4"/>
        <v>-0.48141313839639649</v>
      </c>
      <c r="J48">
        <f t="shared" si="5"/>
        <v>-0.47367309102809096</v>
      </c>
    </row>
    <row r="55" spans="1:10" x14ac:dyDescent="0.25">
      <c r="A55" t="s">
        <v>103</v>
      </c>
    </row>
    <row r="56" spans="1:10" x14ac:dyDescent="0.25">
      <c r="A56" t="s">
        <v>94</v>
      </c>
      <c r="B56" t="s">
        <v>95</v>
      </c>
      <c r="E56" t="s">
        <v>96</v>
      </c>
      <c r="H56" t="s">
        <v>97</v>
      </c>
    </row>
    <row r="57" spans="1:10" x14ac:dyDescent="0.25">
      <c r="A57" t="s">
        <v>98</v>
      </c>
      <c r="B57" t="s">
        <v>99</v>
      </c>
      <c r="C57" t="s">
        <v>100</v>
      </c>
      <c r="D57" t="s">
        <v>101</v>
      </c>
      <c r="E57" t="s">
        <v>99</v>
      </c>
      <c r="F57" t="s">
        <v>100</v>
      </c>
      <c r="G57" t="s">
        <v>101</v>
      </c>
      <c r="H57" t="s">
        <v>99</v>
      </c>
      <c r="I57" t="s">
        <v>100</v>
      </c>
      <c r="J57" t="s">
        <v>101</v>
      </c>
    </row>
    <row r="58" spans="1:10" x14ac:dyDescent="0.25">
      <c r="A58">
        <v>0</v>
      </c>
      <c r="B58">
        <v>0.131909159254782</v>
      </c>
      <c r="C58">
        <v>5.8929978706446999E-2</v>
      </c>
      <c r="D58">
        <v>0.13358617856798699</v>
      </c>
      <c r="E58">
        <f>'3-1_Acceleration'!A23</f>
        <v>6.7790000000000003E-2</v>
      </c>
      <c r="F58">
        <f>'3-1_Acceleration'!B23</f>
        <v>4.2500000000000003E-2</v>
      </c>
      <c r="G58">
        <f>'3-1_Acceleration'!C23</f>
        <v>6.8030000000000007E-2</v>
      </c>
      <c r="H58">
        <f t="shared" ref="H58:H76" si="6">(E58-B58)/B58</f>
        <v>-0.48608572457759436</v>
      </c>
      <c r="I58">
        <f t="shared" ref="I58:I76" si="7">(F58-C58)/C58</f>
        <v>-0.27880510170029199</v>
      </c>
      <c r="J58">
        <f t="shared" ref="J58:J76" si="8">(G58-D58)/D58</f>
        <v>-0.49074072835029858</v>
      </c>
    </row>
    <row r="59" spans="1:10" x14ac:dyDescent="0.25">
      <c r="A59">
        <v>8.7266463000000002E-2</v>
      </c>
      <c r="B59">
        <v>0.12898370366826101</v>
      </c>
      <c r="C59">
        <v>5.1537770390811401E-2</v>
      </c>
      <c r="D59">
        <v>0.12966659916158399</v>
      </c>
      <c r="E59">
        <f>'3-1_Acceleration'!A24</f>
        <v>6.5129999999999993E-2</v>
      </c>
      <c r="F59">
        <f>'3-1_Acceleration'!B24</f>
        <v>4.5420000000000002E-2</v>
      </c>
      <c r="G59">
        <f>'3-1_Acceleration'!C24</f>
        <v>6.5519999999999995E-2</v>
      </c>
      <c r="H59">
        <f t="shared" si="6"/>
        <v>-0.49505248998345736</v>
      </c>
      <c r="I59">
        <f t="shared" si="7"/>
        <v>-0.11870459945046687</v>
      </c>
      <c r="J59">
        <f t="shared" si="8"/>
        <v>-0.49470410712050628</v>
      </c>
    </row>
    <row r="60" spans="1:10" x14ac:dyDescent="0.25">
      <c r="A60">
        <v>0.17453292500000001</v>
      </c>
      <c r="B60">
        <v>0.118551883928231</v>
      </c>
      <c r="C60">
        <v>5.8047353042828001E-2</v>
      </c>
      <c r="D60">
        <v>0.119775740231519</v>
      </c>
      <c r="E60">
        <f>'3-1_Acceleration'!A25</f>
        <v>6.472E-2</v>
      </c>
      <c r="F60">
        <f>'3-1_Acceleration'!B25</f>
        <v>4.4790000000000003E-2</v>
      </c>
      <c r="G60">
        <f>'3-1_Acceleration'!C25</f>
        <v>6.4909999999999995E-2</v>
      </c>
      <c r="H60">
        <f t="shared" si="6"/>
        <v>-0.45407868811953905</v>
      </c>
      <c r="I60">
        <f t="shared" si="7"/>
        <v>-0.22838858876211929</v>
      </c>
      <c r="J60">
        <f t="shared" si="8"/>
        <v>-0.45807055857444062</v>
      </c>
    </row>
    <row r="61" spans="1:10" x14ac:dyDescent="0.25">
      <c r="A61">
        <v>0.26179938800000002</v>
      </c>
      <c r="B61">
        <v>0.12546483785543</v>
      </c>
      <c r="C61">
        <v>5.7835183041979599E-2</v>
      </c>
      <c r="D61">
        <v>0.12658099419575999</v>
      </c>
      <c r="E61">
        <f>'3-1_Acceleration'!A26</f>
        <v>6.5409999999999996E-2</v>
      </c>
      <c r="F61">
        <f>'3-1_Acceleration'!B26</f>
        <v>4.6039999999999998E-2</v>
      </c>
      <c r="G61">
        <f>'3-1_Acceleration'!C26</f>
        <v>6.5619999999999998E-2</v>
      </c>
      <c r="H61">
        <f t="shared" si="6"/>
        <v>-0.47865871332516041</v>
      </c>
      <c r="I61">
        <f t="shared" si="7"/>
        <v>-0.20394476893793317</v>
      </c>
      <c r="J61">
        <f t="shared" si="8"/>
        <v>-0.48159674035647582</v>
      </c>
    </row>
    <row r="62" spans="1:10" x14ac:dyDescent="0.25">
      <c r="A62">
        <v>0.34906585000000001</v>
      </c>
      <c r="B62">
        <v>0.109851110046099</v>
      </c>
      <c r="C62">
        <v>5.5763385548076499E-2</v>
      </c>
      <c r="D62">
        <v>0.11101559533019099</v>
      </c>
      <c r="E62">
        <f>'3-1_Acceleration'!A27</f>
        <v>6.0900000000000003E-2</v>
      </c>
      <c r="F62">
        <f>'3-1_Acceleration'!B27</f>
        <v>4.6710000000000002E-2</v>
      </c>
      <c r="G62">
        <f>'3-1_Acceleration'!C27</f>
        <v>6.1400000000000003E-2</v>
      </c>
      <c r="H62">
        <f t="shared" si="6"/>
        <v>-0.4456132489289974</v>
      </c>
      <c r="I62">
        <f t="shared" si="7"/>
        <v>-0.16235358486745941</v>
      </c>
      <c r="J62">
        <f t="shared" si="8"/>
        <v>-0.44692455310103529</v>
      </c>
    </row>
    <row r="63" spans="1:10" x14ac:dyDescent="0.25">
      <c r="A63">
        <v>0.43633231300000003</v>
      </c>
      <c r="B63">
        <v>0.103682403408451</v>
      </c>
      <c r="C63">
        <v>5.3359426887002501E-2</v>
      </c>
      <c r="D63">
        <v>0.10498600694860399</v>
      </c>
      <c r="E63">
        <f>'3-1_Acceleration'!A28</f>
        <v>4.7239999999999997E-2</v>
      </c>
      <c r="F63">
        <f>'3-1_Acceleration'!B28</f>
        <v>4.0329999999999998E-2</v>
      </c>
      <c r="G63">
        <f>'3-1_Acceleration'!C28</f>
        <v>4.9689999999999998E-2</v>
      </c>
      <c r="H63">
        <f t="shared" si="6"/>
        <v>-0.54437784573819459</v>
      </c>
      <c r="I63">
        <f t="shared" si="7"/>
        <v>-0.24418228693862268</v>
      </c>
      <c r="J63">
        <f t="shared" si="8"/>
        <v>-0.52669882926087674</v>
      </c>
    </row>
    <row r="64" spans="1:10" x14ac:dyDescent="0.25">
      <c r="A64">
        <v>0.52359877600000004</v>
      </c>
      <c r="B64">
        <v>9.5155221765517495E-2</v>
      </c>
      <c r="C64">
        <v>4.4559973968942103E-2</v>
      </c>
      <c r="D64">
        <v>9.6144885824918702E-2</v>
      </c>
      <c r="E64">
        <f>'3-1_Acceleration'!A29</f>
        <v>4.7489999999999997E-2</v>
      </c>
      <c r="F64">
        <f>'3-1_Acceleration'!B29</f>
        <v>3.3520000000000001E-2</v>
      </c>
      <c r="G64">
        <f>'3-1_Acceleration'!C29</f>
        <v>4.7659999999999987E-2</v>
      </c>
      <c r="H64">
        <f t="shared" si="6"/>
        <v>-0.50092071544927552</v>
      </c>
      <c r="I64">
        <f t="shared" si="7"/>
        <v>-0.24775539538323929</v>
      </c>
      <c r="J64">
        <f t="shared" si="8"/>
        <v>-0.50428980604553875</v>
      </c>
    </row>
    <row r="65" spans="1:10" x14ac:dyDescent="0.25">
      <c r="A65">
        <v>0.61086523800000003</v>
      </c>
      <c r="B65">
        <v>9.6461739738963298E-2</v>
      </c>
      <c r="C65">
        <v>4.1297125367470301E-2</v>
      </c>
      <c r="D65">
        <v>9.7416716702063103E-2</v>
      </c>
      <c r="E65">
        <f>'3-1_Acceleration'!A30</f>
        <v>4.5269999999999998E-2</v>
      </c>
      <c r="F65">
        <f>'3-1_Acceleration'!B30</f>
        <v>2.9600000000000001E-2</v>
      </c>
      <c r="G65">
        <f>'3-1_Acceleration'!C30</f>
        <v>4.5439999999999987E-2</v>
      </c>
      <c r="H65">
        <f t="shared" si="6"/>
        <v>-0.5306947591604102</v>
      </c>
      <c r="I65">
        <f t="shared" si="7"/>
        <v>-0.28324308928011033</v>
      </c>
      <c r="J65">
        <f t="shared" si="8"/>
        <v>-0.53355028235069168</v>
      </c>
    </row>
    <row r="66" spans="1:10" x14ac:dyDescent="0.25">
      <c r="A66">
        <v>0.69813170099999999</v>
      </c>
      <c r="B66">
        <v>8.6638852201837396E-2</v>
      </c>
      <c r="C66">
        <v>4.1365270696212902E-2</v>
      </c>
      <c r="D66">
        <v>8.7891175624806597E-2</v>
      </c>
      <c r="E66">
        <f>'3-1_Acceleration'!A31</f>
        <v>4.5770000000000012E-2</v>
      </c>
      <c r="F66">
        <f>'3-1_Acceleration'!B31</f>
        <v>2.512E-2</v>
      </c>
      <c r="G66">
        <f>'3-1_Acceleration'!C31</f>
        <v>4.5840000000000013E-2</v>
      </c>
      <c r="H66">
        <f t="shared" si="6"/>
        <v>-0.47171506966213778</v>
      </c>
      <c r="I66">
        <f t="shared" si="7"/>
        <v>-0.39272729085996766</v>
      </c>
      <c r="J66">
        <f t="shared" si="8"/>
        <v>-0.478445934143791</v>
      </c>
    </row>
    <row r="67" spans="1:10" x14ac:dyDescent="0.25">
      <c r="A67">
        <v>0.78539816299999998</v>
      </c>
      <c r="B67">
        <v>8.3705154307353202E-2</v>
      </c>
      <c r="C67">
        <v>3.8890644140651999E-2</v>
      </c>
      <c r="D67">
        <v>8.5070690443153699E-2</v>
      </c>
      <c r="E67">
        <f>'3-1_Acceleration'!A32</f>
        <v>5.042E-2</v>
      </c>
      <c r="F67">
        <f>'3-1_Acceleration'!B32</f>
        <v>2.4170000000000001E-2</v>
      </c>
      <c r="G67">
        <f>'3-1_Acceleration'!C32</f>
        <v>5.0500000000000003E-2</v>
      </c>
      <c r="H67">
        <f t="shared" si="6"/>
        <v>-0.39764760704143665</v>
      </c>
      <c r="I67">
        <f t="shared" si="7"/>
        <v>-0.37851376509510309</v>
      </c>
      <c r="J67">
        <f t="shared" si="8"/>
        <v>-0.40637604165508295</v>
      </c>
    </row>
    <row r="68" spans="1:10" x14ac:dyDescent="0.25">
      <c r="A68">
        <v>0.87266462600000005</v>
      </c>
      <c r="B68">
        <v>7.7279307898750899E-2</v>
      </c>
      <c r="C68">
        <v>3.7674369178060801E-2</v>
      </c>
      <c r="D68">
        <v>7.87923861843388E-2</v>
      </c>
      <c r="E68">
        <f>'3-1_Acceleration'!A33</f>
        <v>4.41E-2</v>
      </c>
      <c r="F68">
        <f>'3-1_Acceleration'!B33</f>
        <v>2.213E-2</v>
      </c>
      <c r="G68">
        <f>'3-1_Acceleration'!C33</f>
        <v>4.4150000000000002E-2</v>
      </c>
      <c r="H68">
        <f t="shared" si="6"/>
        <v>-0.42934271541641472</v>
      </c>
      <c r="I68">
        <f t="shared" si="7"/>
        <v>-0.41259799479569975</v>
      </c>
      <c r="J68">
        <f t="shared" si="8"/>
        <v>-0.43966667164123158</v>
      </c>
    </row>
    <row r="69" spans="1:10" x14ac:dyDescent="0.25">
      <c r="A69">
        <v>0.95993108900000002</v>
      </c>
      <c r="B69">
        <v>8.5003022373929496E-2</v>
      </c>
      <c r="C69">
        <v>3.7717864736939499E-2</v>
      </c>
      <c r="D69">
        <v>8.65759036183254E-2</v>
      </c>
      <c r="E69">
        <f>'3-1_Acceleration'!A34</f>
        <v>4.4420000000000001E-2</v>
      </c>
      <c r="F69">
        <f>'3-1_Acceleration'!B34</f>
        <v>2.0750000000000001E-2</v>
      </c>
      <c r="G69">
        <f>'3-1_Acceleration'!C34</f>
        <v>4.4429999999999997E-2</v>
      </c>
      <c r="H69">
        <f t="shared" si="6"/>
        <v>-0.47743034589292843</v>
      </c>
      <c r="I69">
        <f t="shared" si="7"/>
        <v>-0.4498628131597755</v>
      </c>
      <c r="J69">
        <f t="shared" si="8"/>
        <v>-0.48680870608209786</v>
      </c>
    </row>
    <row r="70" spans="1:10" x14ac:dyDescent="0.25">
      <c r="A70">
        <v>1.047197551</v>
      </c>
      <c r="B70">
        <v>8.4245058862609107E-2</v>
      </c>
      <c r="C70">
        <v>3.4952894680732503E-2</v>
      </c>
      <c r="D70">
        <v>8.5811466447113696E-2</v>
      </c>
      <c r="E70">
        <f>'3-1_Acceleration'!A35</f>
        <v>4.2840000000000003E-2</v>
      </c>
      <c r="F70">
        <f>'3-1_Acceleration'!B35</f>
        <v>2.1080000000000002E-2</v>
      </c>
      <c r="G70">
        <f>'3-1_Acceleration'!C35</f>
        <v>4.2869999999999998E-2</v>
      </c>
      <c r="H70">
        <f t="shared" si="6"/>
        <v>-0.49148352937985912</v>
      </c>
      <c r="I70">
        <f t="shared" si="7"/>
        <v>-0.39690259726556559</v>
      </c>
      <c r="J70">
        <f t="shared" si="8"/>
        <v>-0.50041641548660487</v>
      </c>
    </row>
    <row r="71" spans="1:10" x14ac:dyDescent="0.25">
      <c r="A71">
        <v>1.134464014</v>
      </c>
      <c r="B71">
        <v>8.8504795253157895E-2</v>
      </c>
      <c r="C71">
        <v>3.5459123608468097E-2</v>
      </c>
      <c r="D71">
        <v>8.9834381647751704E-2</v>
      </c>
      <c r="E71">
        <f>'3-1_Acceleration'!A36</f>
        <v>4.888E-2</v>
      </c>
      <c r="F71">
        <f>'3-1_Acceleration'!B36</f>
        <v>2.1499999999999998E-2</v>
      </c>
      <c r="G71">
        <f>'3-1_Acceleration'!C36</f>
        <v>4.8920000000000012E-2</v>
      </c>
      <c r="H71">
        <f t="shared" si="6"/>
        <v>-0.44771354071624797</v>
      </c>
      <c r="I71">
        <f t="shared" si="7"/>
        <v>-0.39366803767069075</v>
      </c>
      <c r="J71">
        <f t="shared" si="8"/>
        <v>-0.45544234732065597</v>
      </c>
    </row>
    <row r="72" spans="1:10" x14ac:dyDescent="0.25">
      <c r="A72">
        <v>1.2217304760000001</v>
      </c>
      <c r="B72">
        <v>8.61500564074833E-2</v>
      </c>
      <c r="C72">
        <v>4.0025310074388198E-2</v>
      </c>
      <c r="D72">
        <v>8.7846676258970594E-2</v>
      </c>
      <c r="E72">
        <f>'3-1_Acceleration'!A37</f>
        <v>5.2690000000000001E-2</v>
      </c>
      <c r="F72">
        <f>'3-1_Acceleration'!B37</f>
        <v>2.0570000000000001E-2</v>
      </c>
      <c r="G72">
        <f>'3-1_Acceleration'!C37</f>
        <v>5.2749999999999998E-2</v>
      </c>
      <c r="H72">
        <f t="shared" si="6"/>
        <v>-0.38839273939902885</v>
      </c>
      <c r="I72">
        <f t="shared" si="7"/>
        <v>-0.4860751868812494</v>
      </c>
      <c r="J72">
        <f t="shared" si="8"/>
        <v>-0.39952195977803595</v>
      </c>
    </row>
    <row r="73" spans="1:10" x14ac:dyDescent="0.25">
      <c r="A73">
        <v>1.308996939</v>
      </c>
      <c r="B73">
        <v>9.81709786644379E-2</v>
      </c>
      <c r="C73">
        <v>4.0218462935227503E-2</v>
      </c>
      <c r="D73">
        <v>0.100015712124532</v>
      </c>
      <c r="E73">
        <f>'3-1_Acceleration'!A38</f>
        <v>5.987E-2</v>
      </c>
      <c r="F73">
        <f>'3-1_Acceleration'!B38</f>
        <v>2.1350000000000001E-2</v>
      </c>
      <c r="G73">
        <f>'3-1_Acceleration'!C38</f>
        <v>5.9929999999999997E-2</v>
      </c>
      <c r="H73">
        <f t="shared" si="6"/>
        <v>-0.39014563352124654</v>
      </c>
      <c r="I73">
        <f t="shared" si="7"/>
        <v>-0.46914928016059371</v>
      </c>
      <c r="J73">
        <f t="shared" si="8"/>
        <v>-0.40079414796967405</v>
      </c>
    </row>
    <row r="74" spans="1:10" x14ac:dyDescent="0.25">
      <c r="A74">
        <v>1.396263402</v>
      </c>
      <c r="B74">
        <v>0.118880303918294</v>
      </c>
      <c r="C74">
        <v>4.4338198993811397E-2</v>
      </c>
      <c r="D74">
        <v>0.120565536929489</v>
      </c>
      <c r="E74">
        <f>'3-1_Acceleration'!A39</f>
        <v>6.1009999999999988E-2</v>
      </c>
      <c r="F74">
        <f>'3-1_Acceleration'!B39</f>
        <v>2.2249999999999999E-2</v>
      </c>
      <c r="G74">
        <f>'3-1_Acceleration'!C39</f>
        <v>6.1069999999999999E-2</v>
      </c>
      <c r="H74">
        <f t="shared" si="6"/>
        <v>-0.48679471713050182</v>
      </c>
      <c r="I74">
        <f t="shared" si="7"/>
        <v>-0.4981753768774958</v>
      </c>
      <c r="J74">
        <f t="shared" si="8"/>
        <v>-0.49347050943989162</v>
      </c>
    </row>
    <row r="75" spans="1:10" x14ac:dyDescent="0.25">
      <c r="A75">
        <v>1.4835298640000001</v>
      </c>
      <c r="B75">
        <v>0.110334335989004</v>
      </c>
      <c r="C75">
        <v>4.6123161941655499E-2</v>
      </c>
      <c r="D75">
        <v>0.112551701534839</v>
      </c>
      <c r="E75">
        <f>'3-1_Acceleration'!A40</f>
        <v>6.583E-2</v>
      </c>
      <c r="F75">
        <f>'3-1_Acceleration'!B40</f>
        <v>2.4410000000000001E-2</v>
      </c>
      <c r="G75">
        <f>'3-1_Acceleration'!C40</f>
        <v>6.5909999999999996E-2</v>
      </c>
      <c r="H75">
        <f t="shared" si="6"/>
        <v>-0.40335889630440458</v>
      </c>
      <c r="I75">
        <f t="shared" si="7"/>
        <v>-0.47076481809989601</v>
      </c>
      <c r="J75">
        <f t="shared" si="8"/>
        <v>-0.4144024559273467</v>
      </c>
    </row>
    <row r="76" spans="1:10" x14ac:dyDescent="0.25">
      <c r="A76">
        <v>1.570796327</v>
      </c>
      <c r="B76">
        <v>0.12877187494522599</v>
      </c>
      <c r="C76">
        <v>4.5901941428107697E-2</v>
      </c>
      <c r="D76">
        <v>0.13088670980851999</v>
      </c>
      <c r="E76">
        <f>'3-1_Acceleration'!A41</f>
        <v>7.4090000000000003E-2</v>
      </c>
      <c r="F76">
        <f>'3-1_Acceleration'!B41</f>
        <v>2.4840000000000001E-2</v>
      </c>
      <c r="G76">
        <f>'3-1_Acceleration'!C41</f>
        <v>7.4189999999999992E-2</v>
      </c>
      <c r="H76">
        <f t="shared" si="6"/>
        <v>-0.42464144417005112</v>
      </c>
      <c r="I76">
        <f t="shared" si="7"/>
        <v>-0.45884641853537333</v>
      </c>
      <c r="J76">
        <f t="shared" si="8"/>
        <v>-0.43317392492686346</v>
      </c>
    </row>
  </sheetData>
  <mergeCells count="3">
    <mergeCell ref="H3:J3"/>
    <mergeCell ref="B3:D3"/>
    <mergeCell ref="E3:G3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E2EBB-C63A-42A7-952E-6BF06D186903}">
  <dimension ref="A1:D11"/>
  <sheetViews>
    <sheetView tabSelected="1" workbookViewId="0">
      <selection sqref="A1:D11"/>
    </sheetView>
  </sheetViews>
  <sheetFormatPr defaultRowHeight="14.4" x14ac:dyDescent="0.25"/>
  <cols>
    <col min="1" max="2" width="10.21875" style="5" bestFit="1" customWidth="1"/>
    <col min="3" max="3" width="8.88671875" style="5"/>
    <col min="4" max="4" width="10.21875" style="5" bestFit="1" customWidth="1"/>
  </cols>
  <sheetData>
    <row r="1" spans="1:4" ht="16.2" thickBot="1" x14ac:dyDescent="0.3">
      <c r="A1" s="8">
        <v>200</v>
      </c>
      <c r="B1" s="6">
        <v>5409.0518000000002</v>
      </c>
      <c r="C1" s="6"/>
      <c r="D1" s="6">
        <v>6.0679999999999996</v>
      </c>
    </row>
    <row r="2" spans="1:4" ht="16.2" thickBot="1" x14ac:dyDescent="0.3">
      <c r="A2" s="9">
        <v>196.15</v>
      </c>
      <c r="B2" s="7">
        <v>5409.0518000000002</v>
      </c>
      <c r="C2" s="7"/>
      <c r="D2" s="7">
        <v>5.3490000000000002</v>
      </c>
    </row>
    <row r="3" spans="1:4" ht="16.2" thickBot="1" x14ac:dyDescent="0.3">
      <c r="A3" s="9">
        <v>192.3</v>
      </c>
      <c r="B3" s="7">
        <v>7617676.6408393905</v>
      </c>
      <c r="C3" s="7"/>
      <c r="D3" s="7">
        <v>4.8150000000000004</v>
      </c>
    </row>
    <row r="4" spans="1:4" ht="16.2" thickBot="1" x14ac:dyDescent="0.3">
      <c r="A4" s="9">
        <v>188.7</v>
      </c>
      <c r="B4" s="7">
        <v>5632.2224999999999</v>
      </c>
      <c r="C4" s="7"/>
      <c r="D4" s="7">
        <v>1.9630000000000001</v>
      </c>
    </row>
    <row r="5" spans="1:4" ht="16.2" thickBot="1" x14ac:dyDescent="0.3">
      <c r="A5" s="9">
        <v>185.1</v>
      </c>
      <c r="B5" s="7">
        <v>5632.2224999999999</v>
      </c>
      <c r="C5" s="7"/>
      <c r="D5" s="7">
        <v>1.5589999999999999</v>
      </c>
    </row>
    <row r="6" spans="1:4" ht="16.2" thickBot="1" x14ac:dyDescent="0.3">
      <c r="A6" s="9"/>
      <c r="B6" s="7"/>
      <c r="C6" s="7"/>
      <c r="D6" s="7"/>
    </row>
    <row r="7" spans="1:4" ht="16.2" thickBot="1" x14ac:dyDescent="0.3">
      <c r="A7" s="9">
        <v>23.1</v>
      </c>
      <c r="B7" s="7"/>
      <c r="C7" s="7"/>
      <c r="D7" s="7"/>
    </row>
    <row r="8" spans="1:4" ht="16.2" thickBot="1" x14ac:dyDescent="0.3">
      <c r="A8" s="9">
        <v>19.5</v>
      </c>
      <c r="B8" s="7"/>
      <c r="C8" s="7"/>
      <c r="D8" s="7"/>
    </row>
    <row r="9" spans="1:4" ht="16.2" thickBot="1" x14ac:dyDescent="0.3">
      <c r="A9" s="9">
        <v>15</v>
      </c>
      <c r="B9" s="7"/>
      <c r="C9" s="7"/>
      <c r="D9" s="7"/>
    </row>
    <row r="10" spans="1:4" ht="16.2" thickBot="1" x14ac:dyDescent="0.3">
      <c r="A10" s="9">
        <v>10.5</v>
      </c>
      <c r="B10" s="7"/>
      <c r="C10" s="7"/>
      <c r="D10" s="7"/>
    </row>
    <row r="11" spans="1:4" ht="16.2" thickBot="1" x14ac:dyDescent="0.3">
      <c r="A11" s="9">
        <v>6</v>
      </c>
      <c r="B11" s="7"/>
      <c r="C11" s="7"/>
      <c r="D11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1-1_Acceleration</vt:lpstr>
      <vt:lpstr>2-1_Acceleration</vt:lpstr>
      <vt:lpstr>3-1_Acceleration</vt:lpstr>
      <vt:lpstr>结果对比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2025-07-17T01:03:06Z</dcterms:modified>
</cp:coreProperties>
</file>