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4.xml" ContentType="application/vnd.openxmlformats-officedocument.drawingml.chart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4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D:\MyFiles\GitHub\corner-point-response\data\output\Timehistory_modal\"/>
    </mc:Choice>
  </mc:AlternateContent>
  <xr:revisionPtr revIDLastSave="0" documentId="13_ncr:1_{F4E921EE-F940-486B-9812-FF4D0BFBD8DA}" xr6:coauthVersionLast="47" xr6:coauthVersionMax="47" xr10:uidLastSave="{00000000-0000-0000-0000-000000000000}"/>
  <bookViews>
    <workbookView xWindow="-24405" yWindow="2100" windowWidth="21600" windowHeight="11775" activeTab="3" xr2:uid="{00000000-000D-0000-FFFF-FFFF00000000}"/>
  </bookViews>
  <sheets>
    <sheet name="1-1_Acceleration" sheetId="1" r:id="rId1"/>
    <sheet name="2-1_Acceleration" sheetId="2" r:id="rId2"/>
    <sheet name="3-1_Acceleration" sheetId="3" r:id="rId3"/>
    <sheet name="结果对比" sheetId="4" r:id="rId4"/>
    <sheet name="模型一致性对比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" i="4" l="1"/>
  <c r="G15" i="4"/>
  <c r="F16" i="4"/>
  <c r="G16" i="4"/>
  <c r="F17" i="4"/>
  <c r="G17" i="4"/>
  <c r="F18" i="4"/>
  <c r="G18" i="4"/>
  <c r="F19" i="4"/>
  <c r="G19" i="4"/>
  <c r="F20" i="4"/>
  <c r="G20" i="4"/>
  <c r="F21" i="4"/>
  <c r="G21" i="4"/>
  <c r="F22" i="4"/>
  <c r="G22" i="4"/>
  <c r="F23" i="4"/>
  <c r="G23" i="4"/>
  <c r="E23" i="4"/>
  <c r="E22" i="4"/>
  <c r="E21" i="4"/>
  <c r="E20" i="4"/>
  <c r="E19" i="4"/>
  <c r="E18" i="4"/>
  <c r="E17" i="4"/>
  <c r="E16" i="4"/>
  <c r="E15" i="4"/>
  <c r="K99" i="4"/>
  <c r="K100" i="4"/>
  <c r="K101" i="4"/>
  <c r="K102" i="4"/>
  <c r="K103" i="4"/>
  <c r="K104" i="4"/>
  <c r="K105" i="4"/>
  <c r="K106" i="4"/>
  <c r="K107" i="4"/>
  <c r="K108" i="4"/>
  <c r="J115" i="4"/>
  <c r="K116" i="4"/>
  <c r="K117" i="4"/>
  <c r="K115" i="4"/>
  <c r="J116" i="4"/>
  <c r="J117" i="4"/>
  <c r="I116" i="4"/>
  <c r="I117" i="4"/>
  <c r="I115" i="4"/>
  <c r="J100" i="4"/>
  <c r="J101" i="4"/>
  <c r="J102" i="4"/>
  <c r="J103" i="4"/>
  <c r="J104" i="4"/>
  <c r="J105" i="4"/>
  <c r="J106" i="4"/>
  <c r="J107" i="4"/>
  <c r="J108" i="4"/>
  <c r="J99" i="4"/>
  <c r="Q31" i="1"/>
  <c r="Q32" i="1"/>
  <c r="Q33" i="1"/>
  <c r="Q34" i="1"/>
  <c r="Q35" i="1"/>
  <c r="Q36" i="1"/>
  <c r="Q37" i="1"/>
  <c r="Q38" i="1"/>
  <c r="Q39" i="1"/>
  <c r="Q30" i="1"/>
  <c r="P31" i="1"/>
  <c r="P32" i="1"/>
  <c r="P33" i="1"/>
  <c r="P34" i="1"/>
  <c r="P35" i="1"/>
  <c r="P36" i="1"/>
  <c r="P37" i="1"/>
  <c r="P38" i="1"/>
  <c r="P39" i="1"/>
  <c r="P30" i="1"/>
  <c r="P64" i="2"/>
  <c r="O64" i="2"/>
  <c r="P63" i="2"/>
  <c r="O63" i="2"/>
  <c r="P62" i="2"/>
  <c r="O62" i="2"/>
  <c r="P61" i="2"/>
  <c r="O61" i="2"/>
  <c r="P60" i="2"/>
  <c r="O60" i="2"/>
  <c r="P59" i="2"/>
  <c r="O59" i="2"/>
  <c r="P58" i="2"/>
  <c r="O58" i="2"/>
  <c r="P57" i="2"/>
  <c r="O57" i="2"/>
  <c r="P56" i="2"/>
  <c r="O56" i="2"/>
  <c r="P55" i="2"/>
  <c r="O55" i="2"/>
  <c r="P54" i="2"/>
  <c r="O54" i="2"/>
  <c r="P53" i="2"/>
  <c r="O53" i="2"/>
  <c r="P52" i="2"/>
  <c r="O52" i="2"/>
  <c r="P51" i="2"/>
  <c r="O51" i="2"/>
  <c r="P50" i="2"/>
  <c r="O50" i="2"/>
  <c r="P49" i="2"/>
  <c r="O49" i="2"/>
  <c r="P48" i="2"/>
  <c r="O48" i="2"/>
  <c r="P47" i="2"/>
  <c r="O47" i="2"/>
  <c r="P46" i="2"/>
  <c r="O46" i="2"/>
  <c r="O47" i="3"/>
  <c r="P47" i="3"/>
  <c r="O48" i="3"/>
  <c r="P48" i="3"/>
  <c r="O49" i="3"/>
  <c r="P49" i="3"/>
  <c r="O50" i="3"/>
  <c r="P50" i="3"/>
  <c r="O51" i="3"/>
  <c r="P51" i="3"/>
  <c r="O52" i="3"/>
  <c r="P52" i="3"/>
  <c r="O53" i="3"/>
  <c r="P53" i="3"/>
  <c r="O54" i="3"/>
  <c r="P54" i="3"/>
  <c r="O55" i="3"/>
  <c r="P55" i="3"/>
  <c r="O56" i="3"/>
  <c r="P56" i="3"/>
  <c r="O57" i="3"/>
  <c r="P57" i="3"/>
  <c r="O58" i="3"/>
  <c r="P58" i="3"/>
  <c r="O59" i="3"/>
  <c r="P59" i="3"/>
  <c r="O60" i="3"/>
  <c r="P60" i="3"/>
  <c r="O61" i="3"/>
  <c r="P61" i="3"/>
  <c r="O62" i="3"/>
  <c r="P62" i="3"/>
  <c r="O63" i="3"/>
  <c r="P63" i="3"/>
  <c r="O64" i="3"/>
  <c r="P64" i="3"/>
  <c r="P46" i="3"/>
  <c r="O46" i="3"/>
  <c r="C30" i="1"/>
  <c r="D31" i="1"/>
  <c r="C31" i="1"/>
  <c r="J85" i="4"/>
  <c r="J84" i="4"/>
  <c r="J83" i="4"/>
  <c r="I84" i="4"/>
  <c r="I85" i="4"/>
  <c r="I83" i="4"/>
  <c r="Y8" i="5"/>
  <c r="V8" i="5"/>
  <c r="P8" i="5"/>
  <c r="M8" i="5"/>
  <c r="G8" i="5"/>
  <c r="D8" i="5"/>
  <c r="Y7" i="5"/>
  <c r="V7" i="5"/>
  <c r="P7" i="5"/>
  <c r="M7" i="5"/>
  <c r="G7" i="5"/>
  <c r="D7" i="5"/>
  <c r="Y6" i="5"/>
  <c r="V6" i="5"/>
  <c r="P6" i="5"/>
  <c r="M6" i="5"/>
  <c r="G6" i="5"/>
  <c r="D6" i="5"/>
  <c r="Y5" i="5"/>
  <c r="V5" i="5"/>
  <c r="P5" i="5"/>
  <c r="M5" i="5"/>
  <c r="G5" i="5"/>
  <c r="D5" i="5"/>
  <c r="Y4" i="5"/>
  <c r="V4" i="5"/>
  <c r="P4" i="5"/>
  <c r="M4" i="5"/>
  <c r="G4" i="5"/>
  <c r="D4" i="5"/>
  <c r="G76" i="4"/>
  <c r="J76" i="4" s="1"/>
  <c r="F76" i="4"/>
  <c r="I76" i="4" s="1"/>
  <c r="E76" i="4"/>
  <c r="H76" i="4" s="1"/>
  <c r="G75" i="4"/>
  <c r="J75" i="4" s="1"/>
  <c r="F75" i="4"/>
  <c r="I75" i="4" s="1"/>
  <c r="E75" i="4"/>
  <c r="H75" i="4" s="1"/>
  <c r="G74" i="4"/>
  <c r="J74" i="4" s="1"/>
  <c r="F74" i="4"/>
  <c r="I74" i="4" s="1"/>
  <c r="E74" i="4"/>
  <c r="H74" i="4" s="1"/>
  <c r="G73" i="4"/>
  <c r="J73" i="4" s="1"/>
  <c r="F73" i="4"/>
  <c r="I73" i="4" s="1"/>
  <c r="E73" i="4"/>
  <c r="H73" i="4" s="1"/>
  <c r="G72" i="4"/>
  <c r="J72" i="4" s="1"/>
  <c r="F72" i="4"/>
  <c r="I72" i="4" s="1"/>
  <c r="E72" i="4"/>
  <c r="H72" i="4" s="1"/>
  <c r="G71" i="4"/>
  <c r="J71" i="4" s="1"/>
  <c r="F71" i="4"/>
  <c r="I71" i="4" s="1"/>
  <c r="E71" i="4"/>
  <c r="H71" i="4" s="1"/>
  <c r="G70" i="4"/>
  <c r="J70" i="4" s="1"/>
  <c r="F70" i="4"/>
  <c r="I70" i="4" s="1"/>
  <c r="E70" i="4"/>
  <c r="H70" i="4" s="1"/>
  <c r="J69" i="4"/>
  <c r="I69" i="4"/>
  <c r="G69" i="4"/>
  <c r="F69" i="4"/>
  <c r="E69" i="4"/>
  <c r="H69" i="4" s="1"/>
  <c r="G68" i="4"/>
  <c r="J68" i="4" s="1"/>
  <c r="F68" i="4"/>
  <c r="I68" i="4" s="1"/>
  <c r="E68" i="4"/>
  <c r="H68" i="4" s="1"/>
  <c r="G67" i="4"/>
  <c r="J67" i="4" s="1"/>
  <c r="F67" i="4"/>
  <c r="I67" i="4" s="1"/>
  <c r="E67" i="4"/>
  <c r="H67" i="4" s="1"/>
  <c r="G66" i="4"/>
  <c r="J66" i="4" s="1"/>
  <c r="F66" i="4"/>
  <c r="I66" i="4" s="1"/>
  <c r="E66" i="4"/>
  <c r="H66" i="4" s="1"/>
  <c r="G65" i="4"/>
  <c r="J65" i="4" s="1"/>
  <c r="F65" i="4"/>
  <c r="I65" i="4" s="1"/>
  <c r="E65" i="4"/>
  <c r="H65" i="4" s="1"/>
  <c r="G64" i="4"/>
  <c r="J64" i="4" s="1"/>
  <c r="F64" i="4"/>
  <c r="I64" i="4" s="1"/>
  <c r="E64" i="4"/>
  <c r="H64" i="4" s="1"/>
  <c r="G63" i="4"/>
  <c r="J63" i="4" s="1"/>
  <c r="F63" i="4"/>
  <c r="I63" i="4" s="1"/>
  <c r="E63" i="4"/>
  <c r="H63" i="4" s="1"/>
  <c r="G62" i="4"/>
  <c r="J62" i="4" s="1"/>
  <c r="F62" i="4"/>
  <c r="I62" i="4" s="1"/>
  <c r="E62" i="4"/>
  <c r="H62" i="4" s="1"/>
  <c r="G61" i="4"/>
  <c r="J61" i="4" s="1"/>
  <c r="F61" i="4"/>
  <c r="I61" i="4" s="1"/>
  <c r="E61" i="4"/>
  <c r="H61" i="4" s="1"/>
  <c r="G60" i="4"/>
  <c r="J60" i="4" s="1"/>
  <c r="F60" i="4"/>
  <c r="I60" i="4" s="1"/>
  <c r="E60" i="4"/>
  <c r="H60" i="4" s="1"/>
  <c r="G59" i="4"/>
  <c r="J59" i="4" s="1"/>
  <c r="F59" i="4"/>
  <c r="I59" i="4" s="1"/>
  <c r="E59" i="4"/>
  <c r="H59" i="4" s="1"/>
  <c r="G58" i="4"/>
  <c r="J58" i="4" s="1"/>
  <c r="F58" i="4"/>
  <c r="I58" i="4" s="1"/>
  <c r="E58" i="4"/>
  <c r="H58" i="4" s="1"/>
  <c r="G48" i="4"/>
  <c r="J48" i="4" s="1"/>
  <c r="F48" i="4"/>
  <c r="I48" i="4" s="1"/>
  <c r="E48" i="4"/>
  <c r="H48" i="4" s="1"/>
  <c r="G47" i="4"/>
  <c r="J47" i="4" s="1"/>
  <c r="F47" i="4"/>
  <c r="I47" i="4" s="1"/>
  <c r="E47" i="4"/>
  <c r="H47" i="4" s="1"/>
  <c r="G46" i="4"/>
  <c r="J46" i="4" s="1"/>
  <c r="F46" i="4"/>
  <c r="I46" i="4" s="1"/>
  <c r="E46" i="4"/>
  <c r="H46" i="4" s="1"/>
  <c r="G45" i="4"/>
  <c r="J45" i="4" s="1"/>
  <c r="F45" i="4"/>
  <c r="I45" i="4" s="1"/>
  <c r="E45" i="4"/>
  <c r="H45" i="4" s="1"/>
  <c r="G44" i="4"/>
  <c r="J44" i="4" s="1"/>
  <c r="F44" i="4"/>
  <c r="I44" i="4" s="1"/>
  <c r="E44" i="4"/>
  <c r="H44" i="4" s="1"/>
  <c r="G43" i="4"/>
  <c r="J43" i="4" s="1"/>
  <c r="F43" i="4"/>
  <c r="I43" i="4" s="1"/>
  <c r="E43" i="4"/>
  <c r="H43" i="4" s="1"/>
  <c r="G42" i="4"/>
  <c r="J42" i="4" s="1"/>
  <c r="F42" i="4"/>
  <c r="I42" i="4" s="1"/>
  <c r="E42" i="4"/>
  <c r="H42" i="4" s="1"/>
  <c r="G41" i="4"/>
  <c r="J41" i="4" s="1"/>
  <c r="F41" i="4"/>
  <c r="I41" i="4" s="1"/>
  <c r="E41" i="4"/>
  <c r="H41" i="4" s="1"/>
  <c r="G40" i="4"/>
  <c r="J40" i="4" s="1"/>
  <c r="F40" i="4"/>
  <c r="I40" i="4" s="1"/>
  <c r="E40" i="4"/>
  <c r="H40" i="4" s="1"/>
  <c r="G39" i="4"/>
  <c r="J39" i="4" s="1"/>
  <c r="F39" i="4"/>
  <c r="I39" i="4" s="1"/>
  <c r="E39" i="4"/>
  <c r="H39" i="4" s="1"/>
  <c r="G38" i="4"/>
  <c r="J38" i="4" s="1"/>
  <c r="F38" i="4"/>
  <c r="I38" i="4" s="1"/>
  <c r="E38" i="4"/>
  <c r="H38" i="4" s="1"/>
  <c r="G37" i="4"/>
  <c r="J37" i="4" s="1"/>
  <c r="F37" i="4"/>
  <c r="I37" i="4" s="1"/>
  <c r="E37" i="4"/>
  <c r="H37" i="4" s="1"/>
  <c r="G36" i="4"/>
  <c r="J36" i="4" s="1"/>
  <c r="F36" i="4"/>
  <c r="I36" i="4" s="1"/>
  <c r="E36" i="4"/>
  <c r="H36" i="4" s="1"/>
  <c r="G35" i="4"/>
  <c r="J35" i="4" s="1"/>
  <c r="F35" i="4"/>
  <c r="I35" i="4" s="1"/>
  <c r="E35" i="4"/>
  <c r="H35" i="4" s="1"/>
  <c r="G34" i="4"/>
  <c r="J34" i="4" s="1"/>
  <c r="F34" i="4"/>
  <c r="I34" i="4" s="1"/>
  <c r="E34" i="4"/>
  <c r="H34" i="4" s="1"/>
  <c r="G33" i="4"/>
  <c r="J33" i="4" s="1"/>
  <c r="F33" i="4"/>
  <c r="I33" i="4" s="1"/>
  <c r="E33" i="4"/>
  <c r="H33" i="4" s="1"/>
  <c r="G32" i="4"/>
  <c r="J32" i="4" s="1"/>
  <c r="F32" i="4"/>
  <c r="I32" i="4" s="1"/>
  <c r="E32" i="4"/>
  <c r="H32" i="4" s="1"/>
  <c r="G31" i="4"/>
  <c r="J31" i="4" s="1"/>
  <c r="F31" i="4"/>
  <c r="I31" i="4" s="1"/>
  <c r="E31" i="4"/>
  <c r="H31" i="4" s="1"/>
  <c r="G30" i="4"/>
  <c r="J30" i="4" s="1"/>
  <c r="F30" i="4"/>
  <c r="I30" i="4" s="1"/>
  <c r="E30" i="4"/>
  <c r="H30" i="4" s="1"/>
  <c r="G14" i="4"/>
  <c r="J14" i="4" s="1"/>
  <c r="F14" i="4"/>
  <c r="I14" i="4" s="1"/>
  <c r="E14" i="4"/>
  <c r="H14" i="4" s="1"/>
  <c r="G13" i="4"/>
  <c r="J13" i="4" s="1"/>
  <c r="F13" i="4"/>
  <c r="I13" i="4" s="1"/>
  <c r="E13" i="4"/>
  <c r="H13" i="4" s="1"/>
  <c r="G12" i="4"/>
  <c r="J12" i="4" s="1"/>
  <c r="F12" i="4"/>
  <c r="I12" i="4" s="1"/>
  <c r="E12" i="4"/>
  <c r="H12" i="4" s="1"/>
  <c r="G11" i="4"/>
  <c r="J11" i="4" s="1"/>
  <c r="F11" i="4"/>
  <c r="I11" i="4" s="1"/>
  <c r="E11" i="4"/>
  <c r="H11" i="4" s="1"/>
  <c r="G10" i="4"/>
  <c r="J10" i="4" s="1"/>
  <c r="F10" i="4"/>
  <c r="I10" i="4" s="1"/>
  <c r="E10" i="4"/>
  <c r="H10" i="4" s="1"/>
  <c r="G9" i="4"/>
  <c r="J9" i="4" s="1"/>
  <c r="F9" i="4"/>
  <c r="I9" i="4" s="1"/>
  <c r="E9" i="4"/>
  <c r="H9" i="4" s="1"/>
  <c r="G8" i="4"/>
  <c r="J8" i="4" s="1"/>
  <c r="F8" i="4"/>
  <c r="I8" i="4" s="1"/>
  <c r="E8" i="4"/>
  <c r="H8" i="4" s="1"/>
  <c r="G7" i="4"/>
  <c r="J7" i="4" s="1"/>
  <c r="F7" i="4"/>
  <c r="I7" i="4" s="1"/>
  <c r="E7" i="4"/>
  <c r="H7" i="4" s="1"/>
  <c r="G6" i="4"/>
  <c r="J6" i="4" s="1"/>
  <c r="F6" i="4"/>
  <c r="I6" i="4" s="1"/>
  <c r="E6" i="4"/>
  <c r="H6" i="4" s="1"/>
  <c r="G5" i="4"/>
  <c r="J5" i="4" s="1"/>
  <c r="F5" i="4"/>
  <c r="I5" i="4" s="1"/>
  <c r="E5" i="4"/>
  <c r="H5" i="4" s="1"/>
  <c r="D64" i="3"/>
  <c r="C64" i="3"/>
  <c r="D63" i="3"/>
  <c r="C63" i="3"/>
  <c r="D62" i="3"/>
  <c r="C62" i="3"/>
  <c r="D61" i="3"/>
  <c r="C61" i="3"/>
  <c r="D60" i="3"/>
  <c r="C60" i="3"/>
  <c r="D59" i="3"/>
  <c r="C59" i="3"/>
  <c r="D58" i="3"/>
  <c r="C58" i="3"/>
  <c r="D57" i="3"/>
  <c r="C57" i="3"/>
  <c r="D56" i="3"/>
  <c r="C56" i="3"/>
  <c r="D55" i="3"/>
  <c r="C55" i="3"/>
  <c r="D54" i="3"/>
  <c r="C54" i="3"/>
  <c r="D53" i="3"/>
  <c r="C53" i="3"/>
  <c r="D52" i="3"/>
  <c r="C52" i="3"/>
  <c r="D51" i="3"/>
  <c r="C51" i="3"/>
  <c r="D50" i="3"/>
  <c r="C50" i="3"/>
  <c r="D49" i="3"/>
  <c r="C49" i="3"/>
  <c r="D48" i="3"/>
  <c r="C48" i="3"/>
  <c r="D47" i="3"/>
  <c r="C47" i="3"/>
  <c r="D46" i="3"/>
  <c r="C46" i="3"/>
  <c r="C42" i="3"/>
  <c r="B42" i="3"/>
  <c r="D64" i="2"/>
  <c r="C64" i="2"/>
  <c r="D63" i="2"/>
  <c r="C63" i="2"/>
  <c r="D62" i="2"/>
  <c r="C62" i="2"/>
  <c r="D61" i="2"/>
  <c r="C61" i="2"/>
  <c r="D60" i="2"/>
  <c r="C60" i="2"/>
  <c r="D59" i="2"/>
  <c r="C59" i="2"/>
  <c r="D58" i="2"/>
  <c r="C58" i="2"/>
  <c r="D57" i="2"/>
  <c r="C57" i="2"/>
  <c r="D56" i="2"/>
  <c r="C56" i="2"/>
  <c r="D55" i="2"/>
  <c r="C55" i="2"/>
  <c r="D54" i="2"/>
  <c r="C54" i="2"/>
  <c r="D53" i="2"/>
  <c r="C53" i="2"/>
  <c r="D52" i="2"/>
  <c r="C52" i="2"/>
  <c r="D51" i="2"/>
  <c r="C51" i="2"/>
  <c r="D50" i="2"/>
  <c r="C50" i="2"/>
  <c r="D49" i="2"/>
  <c r="C49" i="2"/>
  <c r="D48" i="2"/>
  <c r="C48" i="2"/>
  <c r="D47" i="2"/>
  <c r="C47" i="2"/>
  <c r="D46" i="2"/>
  <c r="C46" i="2"/>
  <c r="C42" i="2"/>
  <c r="B42" i="2"/>
  <c r="D39" i="1"/>
  <c r="C39" i="1"/>
  <c r="D38" i="1"/>
  <c r="C38" i="1"/>
  <c r="D37" i="1"/>
  <c r="C37" i="1"/>
  <c r="D36" i="1"/>
  <c r="C36" i="1"/>
  <c r="D35" i="1"/>
  <c r="C35" i="1"/>
  <c r="D34" i="1"/>
  <c r="C34" i="1"/>
  <c r="D33" i="1"/>
  <c r="C33" i="1"/>
  <c r="D32" i="1"/>
  <c r="C32" i="1"/>
  <c r="D30" i="1"/>
  <c r="C24" i="1"/>
  <c r="B24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8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</futureMetadata>
  <valueMetadata count="8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</valueMetadata>
</metadata>
</file>

<file path=xl/sharedStrings.xml><?xml version="1.0" encoding="utf-8"?>
<sst xmlns="http://schemas.openxmlformats.org/spreadsheetml/2006/main" count="260" uniqueCount="136">
  <si>
    <t>folder</t>
  </si>
  <si>
    <t>angle</t>
  </si>
  <si>
    <t>P195_UX_extreme</t>
  </si>
  <si>
    <t>P195_UY_extreme</t>
  </si>
  <si>
    <t>P195_range_2D_extreme</t>
  </si>
  <si>
    <t>P54000062_UX_extreme</t>
  </si>
  <si>
    <t>P54000062_UY_extreme</t>
  </si>
  <si>
    <t>P54000062_range_2D_extreme</t>
  </si>
  <si>
    <t>P54000070_UX_extreme</t>
  </si>
  <si>
    <t>P54000070_UY_extreme</t>
  </si>
  <si>
    <t>P54000070_range_2D_extreme</t>
  </si>
  <si>
    <t>P54000071_UX_extreme</t>
  </si>
  <si>
    <t>P54000071_UY_extreme</t>
  </si>
  <si>
    <t>P54000071_range_2D_extreme</t>
  </si>
  <si>
    <t>P54000079_UX_extreme</t>
  </si>
  <si>
    <t>P54000079_UY_extreme</t>
  </si>
  <si>
    <t>P54000079_range_2D_extreme</t>
  </si>
  <si>
    <t>Model2_10yr_000</t>
  </si>
  <si>
    <t>Model2_10yr_005</t>
  </si>
  <si>
    <t>Model2_10yr_010</t>
  </si>
  <si>
    <t>Model2_10yr_015</t>
  </si>
  <si>
    <t>Model2_10yr_020</t>
  </si>
  <si>
    <t>Model2_10yr_025</t>
  </si>
  <si>
    <t>Model2_10yr_030</t>
  </si>
  <si>
    <t>Model2_10yr_035</t>
  </si>
  <si>
    <t>Model2_10yr_040</t>
  </si>
  <si>
    <t>Model2_10yr_045</t>
  </si>
  <si>
    <t>(中心点极值-角点矢量极值)/角点矢量极值</t>
  </si>
  <si>
    <t>P285_UX_extreme</t>
  </si>
  <si>
    <t>P285_UY_extreme</t>
  </si>
  <si>
    <t>P285_range_2D_extreme</t>
  </si>
  <si>
    <t>P54000047_UX_extreme</t>
  </si>
  <si>
    <t>P54000047_UY_extreme</t>
  </si>
  <si>
    <t>P54000047_range_2D_extreme</t>
  </si>
  <si>
    <t>P54000050_UX_extreme</t>
  </si>
  <si>
    <t>P54000050_UY_extreme</t>
  </si>
  <si>
    <t>P54000050_range_2D_extreme</t>
  </si>
  <si>
    <t>P54000059_UX_extreme</t>
  </si>
  <si>
    <t>P54000059_UY_extreme</t>
  </si>
  <si>
    <t>P54000059_range_2D_extreme</t>
  </si>
  <si>
    <t>P54000058_UX_extreme</t>
  </si>
  <si>
    <t>P54000058_UY_extreme</t>
  </si>
  <si>
    <t>P54000058_range_2D_extreme</t>
  </si>
  <si>
    <t>Model3_10yr_000</t>
  </si>
  <si>
    <t>Model3_10yr_005</t>
  </si>
  <si>
    <t>Model3_10yr_010</t>
  </si>
  <si>
    <t>Model3_10yr_015</t>
  </si>
  <si>
    <t>Model3_10yr_020</t>
  </si>
  <si>
    <t>Model3_10yr_025</t>
  </si>
  <si>
    <t>Model3_10yr_030</t>
  </si>
  <si>
    <t>Model3_10yr_035</t>
  </si>
  <si>
    <t>Model3_10yr_040</t>
  </si>
  <si>
    <t>Model3_10yr_045</t>
  </si>
  <si>
    <t>Model3_10yr_050</t>
  </si>
  <si>
    <t>Model3_10yr_055</t>
  </si>
  <si>
    <t>Model3_10yr_060</t>
  </si>
  <si>
    <t>Model3_10yr_065</t>
  </si>
  <si>
    <t>Model3_10yr_070</t>
  </si>
  <si>
    <t>Model3_10yr_075</t>
  </si>
  <si>
    <t>Model3_10yr_080</t>
  </si>
  <si>
    <t>Model3_10yr_085</t>
  </si>
  <si>
    <t>Model3_10yr_090</t>
  </si>
  <si>
    <t>P378_UX_extreme</t>
  </si>
  <si>
    <t>P378_UY_extreme</t>
  </si>
  <si>
    <t>P378_range_2D_extreme</t>
  </si>
  <si>
    <t>P54000060_UX_extreme</t>
  </si>
  <si>
    <t>P54000060_UY_extreme</t>
  </si>
  <si>
    <t>P54000060_range_2D_extreme</t>
  </si>
  <si>
    <t>P54000067_UX_extreme</t>
  </si>
  <si>
    <t>P54000067_UY_extreme</t>
  </si>
  <si>
    <t>P54000067_range_2D_extreme</t>
  </si>
  <si>
    <t>P54000066_UX_extreme</t>
  </si>
  <si>
    <t>P54000066_UY_extreme</t>
  </si>
  <si>
    <t>P54000066_range_2D_extreme</t>
  </si>
  <si>
    <t>Model4_10yr_000</t>
  </si>
  <si>
    <t>Model4_10yr_005</t>
  </si>
  <si>
    <t>Model4_10yr_010</t>
  </si>
  <si>
    <t>Model4_10yr_015</t>
  </si>
  <si>
    <t>Model4_10yr_020</t>
  </si>
  <si>
    <t>Model4_10yr_025</t>
  </si>
  <si>
    <t>Model4_10yr_030</t>
  </si>
  <si>
    <t>Model4_10yr_035</t>
  </si>
  <si>
    <t>Model4_10yr_040</t>
  </si>
  <si>
    <t>Model4_10yr_045</t>
  </si>
  <si>
    <t>Model4_10yr_050</t>
  </si>
  <si>
    <t>Model4_10yr_055</t>
  </si>
  <si>
    <t>Model4_10yr_060</t>
  </si>
  <si>
    <t>Model4_10yr_065</t>
  </si>
  <si>
    <t>Model4_10yr_070</t>
  </si>
  <si>
    <t>Model4_10yr_075</t>
  </si>
  <si>
    <t>Model4_10yr_080</t>
  </si>
  <si>
    <t>Model4_10yr_085</t>
  </si>
  <si>
    <t>Model4_10yr_090</t>
  </si>
  <si>
    <t>图18(a)</t>
  </si>
  <si>
    <t>1-1模型</t>
  </si>
  <si>
    <t>matlab</t>
  </si>
  <si>
    <t>集中质量模型</t>
  </si>
  <si>
    <t>SAP2000模型</t>
  </si>
  <si>
    <t>偏差(%)</t>
  </si>
  <si>
    <t>角度</t>
  </si>
  <si>
    <t>X</t>
  </si>
  <si>
    <t>Y</t>
  </si>
  <si>
    <t>A</t>
  </si>
  <si>
    <t>2-1模型</t>
  </si>
  <si>
    <t>3-1模型</t>
  </si>
  <si>
    <t>1-1</t>
  </si>
  <si>
    <t>2-1</t>
  </si>
  <si>
    <t>3-1</t>
  </si>
  <si>
    <t>质量</t>
  </si>
  <si>
    <t>周期</t>
  </si>
  <si>
    <t>层高</t>
  </si>
  <si>
    <t>MATLAB</t>
  </si>
  <si>
    <t>SAP2000</t>
  </si>
  <si>
    <t>偏差</t>
  </si>
  <si>
    <t>….</t>
  </si>
  <si>
    <t>Building</t>
  </si>
  <si>
    <t>1D principal axes response</t>
  </si>
  <si>
    <t xml:space="preserve">2D vectorial response </t>
  </si>
  <si>
    <t xml:space="preserve"> (%)</t>
  </si>
  <si>
    <t>(º)</t>
  </si>
  <si>
    <t>Center</t>
  </si>
  <si>
    <t>Corner</t>
  </si>
  <si>
    <t>Acce</t>
  </si>
  <si>
    <r>
      <t>(m/s</t>
    </r>
    <r>
      <rPr>
        <vertAlign val="superscript"/>
        <sz val="10.5"/>
        <color rgb="FFEE0000"/>
        <rFont val="Times New Roman"/>
        <family val="1"/>
      </rPr>
      <t>2</t>
    </r>
    <r>
      <rPr>
        <sz val="10.5"/>
        <color rgb="FFEE0000"/>
        <rFont val="Times New Roman"/>
        <family val="1"/>
      </rPr>
      <t>)</t>
    </r>
  </si>
  <si>
    <t>B11</t>
  </si>
  <si>
    <t>5/85</t>
  </si>
  <si>
    <t>B21</t>
  </si>
  <si>
    <t>B31</t>
  </si>
  <si>
    <t>1D principal-axes response</t>
  </si>
  <si>
    <t xml:space="preserve"> </t>
  </si>
  <si>
    <t>(%)</t>
  </si>
  <si>
    <t>Disp</t>
  </si>
  <si>
    <t>(m)</t>
  </si>
  <si>
    <t>B21T</t>
  </si>
  <si>
    <t>B31T</t>
  </si>
  <si>
    <r>
      <t>(m/s</t>
    </r>
    <r>
      <rPr>
        <vertAlign val="superscript"/>
        <sz val="10.5"/>
        <color theme="1"/>
        <rFont val="Times New Roman"/>
        <family val="1"/>
      </rPr>
      <t>2</t>
    </r>
    <r>
      <rPr>
        <sz val="10.5"/>
        <color theme="1"/>
        <rFont val="Times New Roman"/>
        <family val="1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</si>
</sst>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_ "/>
    <numFmt numFmtId="177" formatCode="0.00_ "/>
  </numFmts>
  <fonts count="11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2"/>
      <color theme="1"/>
      <name val="Times New Roman"/>
      <family val="1"/>
    </font>
    <font>
      <sz val="12"/>
      <color rgb="FF000000"/>
      <name val="Times New Roman"/>
      <family val="1"/>
    </font>
    <font>
      <sz val="12"/>
      <color theme="1"/>
      <name val="宋体"/>
      <family val="3"/>
      <charset val="134"/>
    </font>
    <font>
      <sz val="11"/>
      <color rgb="FF000000"/>
      <name val="Times New Roman"/>
      <family val="1"/>
    </font>
    <font>
      <b/>
      <sz val="11"/>
      <name val="宋体"/>
      <charset val="134"/>
    </font>
    <font>
      <sz val="10.5"/>
      <color rgb="FFEE0000"/>
      <name val="Times New Roman"/>
      <family val="1"/>
    </font>
    <font>
      <vertAlign val="superscript"/>
      <sz val="10.5"/>
      <color rgb="FFEE0000"/>
      <name val="Times New Roman"/>
      <family val="1"/>
    </font>
    <font>
      <sz val="10.5"/>
      <color theme="1"/>
      <name val="Times New Roman"/>
      <family val="1"/>
    </font>
    <font>
      <vertAlign val="superscript"/>
      <sz val="10.5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3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ck">
        <color indexed="64"/>
      </top>
      <bottom style="medium">
        <color indexed="64"/>
      </bottom>
      <diagonal/>
    </border>
    <border>
      <left/>
      <right/>
      <top style="thick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/>
      <right/>
      <top/>
      <bottom style="thick">
        <color indexed="64"/>
      </bottom>
      <diagonal/>
    </border>
  </borders>
  <cellStyleXfs count="1">
    <xf numFmtId="0" fontId="0" fillId="0" borderId="0"/>
  </cellStyleXfs>
  <cellXfs count="58">
    <xf numFmtId="0" fontId="0" fillId="0" borderId="0" xfId="0"/>
    <xf numFmtId="11" fontId="0" fillId="0" borderId="0" xfId="0" applyNumberFormat="1"/>
    <xf numFmtId="0" fontId="0" fillId="2" borderId="0" xfId="0" applyFill="1"/>
    <xf numFmtId="11" fontId="3" fillId="0" borderId="4" xfId="0" applyNumberFormat="1" applyFont="1" applyBorder="1" applyAlignment="1">
      <alignment horizontal="center" vertical="center" wrapText="1"/>
    </xf>
    <xf numFmtId="11" fontId="3" fillId="0" borderId="2" xfId="0" applyNumberFormat="1" applyFont="1" applyBorder="1" applyAlignment="1">
      <alignment horizontal="center" vertical="center" wrapText="1"/>
    </xf>
    <xf numFmtId="0" fontId="0" fillId="3" borderId="0" xfId="0" applyFill="1"/>
    <xf numFmtId="0" fontId="0" fillId="4" borderId="0" xfId="0" applyFill="1"/>
    <xf numFmtId="0" fontId="2" fillId="0" borderId="3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11" fontId="5" fillId="0" borderId="2" xfId="0" applyNumberFormat="1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49" fontId="0" fillId="0" borderId="0" xfId="0" applyNumberFormat="1"/>
    <xf numFmtId="11" fontId="2" fillId="0" borderId="2" xfId="0" applyNumberFormat="1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top"/>
    </xf>
    <xf numFmtId="0" fontId="7" fillId="0" borderId="0" xfId="0" applyFont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10" xfId="0" applyFont="1" applyBorder="1" applyAlignment="1">
      <alignment vertical="center" wrapText="1"/>
    </xf>
    <xf numFmtId="0" fontId="7" fillId="0" borderId="8" xfId="0" applyFont="1" applyBorder="1" applyAlignment="1">
      <alignment vertical="center" wrapText="1"/>
    </xf>
    <xf numFmtId="0" fontId="7" fillId="0" borderId="10" xfId="0" applyFont="1" applyBorder="1" applyAlignment="1">
      <alignment horizontal="center" vertical="center" wrapText="1"/>
    </xf>
    <xf numFmtId="0" fontId="0" fillId="0" borderId="12" xfId="0" applyBorder="1" applyAlignment="1">
      <alignment vertical="center" wrapText="1"/>
    </xf>
    <xf numFmtId="0" fontId="7" fillId="0" borderId="12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176" fontId="7" fillId="0" borderId="0" xfId="0" applyNumberFormat="1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9" fillId="0" borderId="10" xfId="0" applyFont="1" applyBorder="1" applyAlignment="1">
      <alignment vertical="center" wrapText="1"/>
    </xf>
    <xf numFmtId="0" fontId="9" fillId="0" borderId="8" xfId="0" applyFont="1" applyBorder="1" applyAlignment="1">
      <alignment vertical="center" wrapText="1"/>
    </xf>
    <xf numFmtId="0" fontId="9" fillId="0" borderId="10" xfId="0" applyFont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9" fillId="0" borderId="12" xfId="0" applyFont="1" applyBorder="1" applyAlignment="1">
      <alignment horizontal="center" vertical="center" wrapText="1"/>
    </xf>
    <xf numFmtId="177" fontId="9" fillId="0" borderId="0" xfId="0" applyNumberFormat="1" applyFont="1" applyAlignment="1">
      <alignment horizontal="center" vertical="center" wrapText="1"/>
    </xf>
    <xf numFmtId="177" fontId="0" fillId="0" borderId="0" xfId="0" applyNumberFormat="1"/>
    <xf numFmtId="177" fontId="7" fillId="0" borderId="0" xfId="0" applyNumberFormat="1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0" borderId="12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0" fontId="9" fillId="0" borderId="8" xfId="0" applyFont="1" applyBorder="1" applyAlignment="1">
      <alignment vertical="center" wrapText="1"/>
    </xf>
    <xf numFmtId="0" fontId="9" fillId="0" borderId="6" xfId="0" applyFont="1" applyBorder="1" applyAlignment="1">
      <alignment horizontal="center" vertical="center" wrapText="1"/>
    </xf>
    <xf numFmtId="176" fontId="7" fillId="0" borderId="6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/>
    <xf numFmtId="0" fontId="0" fillId="3" borderId="0" xfId="0" applyFill="1" applyAlignment="1">
      <alignment horizontal="center"/>
    </xf>
    <xf numFmtId="0" fontId="0" fillId="3" borderId="0" xfId="0" applyFill="1"/>
    <xf numFmtId="0" fontId="0" fillId="4" borderId="0" xfId="0" applyFill="1" applyAlignment="1">
      <alignment horizontal="center"/>
    </xf>
    <xf numFmtId="0" fontId="0" fillId="4" borderId="0" xfId="0" applyFill="1"/>
    <xf numFmtId="0" fontId="4" fillId="0" borderId="3" xfId="0" applyFont="1" applyBorder="1" applyAlignment="1">
      <alignment horizontal="center" vertical="center" wrapText="1"/>
    </xf>
    <xf numFmtId="0" fontId="0" fillId="0" borderId="5" xfId="0" applyBorder="1"/>
    <xf numFmtId="0" fontId="0" fillId="0" borderId="1" xfId="0" applyBorder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worksheet" Target="worksheets/sheet5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alcChain" Target="calcChain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n-US"/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'1-1_Acceleration'!$C$2:$C$11</c:f>
              <c:numCache>
                <c:formatCode>General</c:formatCode>
                <c:ptCount val="10"/>
                <c:pt idx="0">
                  <c:v>6.4510000000000012E-2</c:v>
                </c:pt>
                <c:pt idx="1">
                  <c:v>6.4549999999999996E-2</c:v>
                </c:pt>
                <c:pt idx="2">
                  <c:v>5.4309999999999997E-2</c:v>
                </c:pt>
                <c:pt idx="3">
                  <c:v>5.9229999999999998E-2</c:v>
                </c:pt>
                <c:pt idx="4">
                  <c:v>4.9919999999999999E-2</c:v>
                </c:pt>
                <c:pt idx="5">
                  <c:v>5.0889999999999998E-2</c:v>
                </c:pt>
                <c:pt idx="6">
                  <c:v>5.0110000000000002E-2</c:v>
                </c:pt>
                <c:pt idx="7">
                  <c:v>5.6300000000000003E-2</c:v>
                </c:pt>
                <c:pt idx="8">
                  <c:v>5.6120000000000003E-2</c:v>
                </c:pt>
                <c:pt idx="9">
                  <c:v>5.4100000000000002E-2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AD-4487-931A-E0226CE245AA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'1-1_Acceleration'!$D$2:$D$11</c:f>
              <c:numCache>
                <c:formatCode>General</c:formatCode>
                <c:ptCount val="10"/>
                <c:pt idx="0">
                  <c:v>0.12007</c:v>
                </c:pt>
                <c:pt idx="1">
                  <c:v>0.13819999999999999</c:v>
                </c:pt>
                <c:pt idx="2">
                  <c:v>0.12631000000000001</c:v>
                </c:pt>
                <c:pt idx="3">
                  <c:v>0.11303000000000001</c:v>
                </c:pt>
                <c:pt idx="4">
                  <c:v>9.4790000000000013E-2</c:v>
                </c:pt>
                <c:pt idx="5">
                  <c:v>7.7719999999999997E-2</c:v>
                </c:pt>
                <c:pt idx="6">
                  <c:v>7.7930000000000013E-2</c:v>
                </c:pt>
                <c:pt idx="7">
                  <c:v>6.966E-2</c:v>
                </c:pt>
                <c:pt idx="8">
                  <c:v>6.2049999999999987E-2</c:v>
                </c:pt>
                <c:pt idx="9">
                  <c:v>6.1940000000000002E-2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1AD-4487-931A-E0226CE245AA}"/>
            </c:ext>
          </c:extLst>
        </c:ser>
        <c:ser>
          <c:idx val="2"/>
          <c:order val="2"/>
          <c:tx>
            <c:strRef>
              <c:f>'1-1_Acceleration'!$C$13</c:f>
              <c:strCache>
                <c:ptCount val="1"/>
                <c:pt idx="0">
                  <c:v>P54000071_range_2D_extreme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val>
            <c:numRef>
              <c:f>'1-1_Acceleration'!$C$14:$C$23</c:f>
              <c:numCache>
                <c:formatCode>General</c:formatCode>
                <c:ptCount val="10"/>
                <c:pt idx="0">
                  <c:v>0.12665999999999999</c:v>
                </c:pt>
                <c:pt idx="1">
                  <c:v>0.14563000000000001</c:v>
                </c:pt>
                <c:pt idx="2">
                  <c:v>0.13300999999999999</c:v>
                </c:pt>
                <c:pt idx="3">
                  <c:v>0.11905</c:v>
                </c:pt>
                <c:pt idx="4">
                  <c:v>9.9919999999999995E-2</c:v>
                </c:pt>
                <c:pt idx="5">
                  <c:v>8.2189999999999999E-2</c:v>
                </c:pt>
                <c:pt idx="6">
                  <c:v>8.2290000000000002E-2</c:v>
                </c:pt>
                <c:pt idx="7">
                  <c:v>7.3810000000000001E-2</c:v>
                </c:pt>
                <c:pt idx="8">
                  <c:v>6.8659999999999999E-2</c:v>
                </c:pt>
                <c:pt idx="9">
                  <c:v>6.7409999999999998E-2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1AD-4487-931A-E0226CE245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05965464"/>
        <c:axId val="805963664"/>
      </c:lineChart>
      <c:catAx>
        <c:axId val="80596546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05963664"/>
        <c:crosses val="autoZero"/>
        <c:auto val="1"/>
        <c:lblAlgn val="ctr"/>
        <c:lblOffset val="100"/>
        <c:noMultiLvlLbl val="0"/>
      </c:catAx>
      <c:valAx>
        <c:axId val="80596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059654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n-US"/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1"/>
          <c:order val="0"/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'1-1_Acceleration'!$D$30:$D$39</c:f>
              <c:numCache>
                <c:formatCode>General</c:formatCode>
                <c:ptCount val="10"/>
                <c:pt idx="0">
                  <c:v>-5.2029054160745297E-2</c:v>
                </c:pt>
                <c:pt idx="1">
                  <c:v>-5.1019707477854968E-2</c:v>
                </c:pt>
                <c:pt idx="2">
                  <c:v>-5.0372152469739001E-2</c:v>
                </c:pt>
                <c:pt idx="3">
                  <c:v>-5.0566988660226776E-2</c:v>
                </c:pt>
                <c:pt idx="4">
                  <c:v>-5.134107285828645E-2</c:v>
                </c:pt>
                <c:pt idx="5">
                  <c:v>-5.4386178367197981E-2</c:v>
                </c:pt>
                <c:pt idx="6">
                  <c:v>-5.2983351561550478E-2</c:v>
                </c:pt>
                <c:pt idx="7">
                  <c:v>-5.6225443706814808E-2</c:v>
                </c:pt>
                <c:pt idx="8">
                  <c:v>-9.6271482668220387E-2</c:v>
                </c:pt>
                <c:pt idx="9">
                  <c:v>-8.1145230677940897E-2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8E3-4F45-A373-B92E71AC977F}"/>
            </c:ext>
          </c:extLst>
        </c:ser>
        <c:ser>
          <c:idx val="0"/>
          <c:order val="1"/>
          <c:marker>
            <c:symbol val="none"/>
          </c:marker>
          <c:val>
            <c:numRef>
              <c:f>'2-1_Acceleration'!$D$46:$D$64</c:f>
              <c:numCache>
                <c:formatCode>General</c:formatCode>
                <c:ptCount val="19"/>
                <c:pt idx="0">
                  <c:v>-0.11716262215877896</c:v>
                </c:pt>
                <c:pt idx="1">
                  <c:v>-0.16293654697491392</c:v>
                </c:pt>
                <c:pt idx="2">
                  <c:v>-0.10738398885435646</c:v>
                </c:pt>
                <c:pt idx="3">
                  <c:v>-0.14806893948924379</c:v>
                </c:pt>
                <c:pt idx="4">
                  <c:v>-0.10342280226545192</c:v>
                </c:pt>
                <c:pt idx="5">
                  <c:v>-0.13649466705102334</c:v>
                </c:pt>
                <c:pt idx="6">
                  <c:v>-0.12695757944351524</c:v>
                </c:pt>
                <c:pt idx="7">
                  <c:v>-0.10192837465564741</c:v>
                </c:pt>
                <c:pt idx="8">
                  <c:v>-0.10092764378478664</c:v>
                </c:pt>
                <c:pt idx="9">
                  <c:v>-9.4555353901996472E-2</c:v>
                </c:pt>
                <c:pt idx="10">
                  <c:v>-8.2576249188838366E-2</c:v>
                </c:pt>
                <c:pt idx="11">
                  <c:v>-8.8289676425269636E-2</c:v>
                </c:pt>
                <c:pt idx="12">
                  <c:v>-8.7959725912459846E-2</c:v>
                </c:pt>
                <c:pt idx="13">
                  <c:v>-8.4379850430365444E-2</c:v>
                </c:pt>
                <c:pt idx="14">
                  <c:v>-8.7145642717864236E-2</c:v>
                </c:pt>
                <c:pt idx="15">
                  <c:v>-8.4258017314961589E-2</c:v>
                </c:pt>
                <c:pt idx="16">
                  <c:v>-8.2900357926336363E-2</c:v>
                </c:pt>
                <c:pt idx="17">
                  <c:v>-8.4011759384893636E-2</c:v>
                </c:pt>
                <c:pt idx="18">
                  <c:v>-8.5297297297297237E-2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2F7-4151-9E78-ED8EBDCDE77E}"/>
            </c:ext>
          </c:extLst>
        </c:ser>
        <c:ser>
          <c:idx val="2"/>
          <c:order val="2"/>
          <c:marker>
            <c:symbol val="none"/>
          </c:marker>
          <c:val>
            <c:numRef>
              <c:f>'3-1_Acceleration'!$D$46:$D$64</c:f>
              <c:numCache>
                <c:formatCode>General</c:formatCode>
                <c:ptCount val="19"/>
                <c:pt idx="0">
                  <c:v>-0.23042561111800464</c:v>
                </c:pt>
                <c:pt idx="1">
                  <c:v>-0.21601208459214497</c:v>
                </c:pt>
                <c:pt idx="2">
                  <c:v>-0.21966948810963333</c:v>
                </c:pt>
                <c:pt idx="3">
                  <c:v>-0.2144132653061224</c:v>
                </c:pt>
                <c:pt idx="4">
                  <c:v>-0.21855427974947808</c:v>
                </c:pt>
                <c:pt idx="5">
                  <c:v>-0.23608087091757388</c:v>
                </c:pt>
                <c:pt idx="6">
                  <c:v>-0.22302870339821837</c:v>
                </c:pt>
                <c:pt idx="7">
                  <c:v>-0.21865536038764358</c:v>
                </c:pt>
                <c:pt idx="8">
                  <c:v>-0.21900452488687783</c:v>
                </c:pt>
                <c:pt idx="9">
                  <c:v>-0.22181818181818175</c:v>
                </c:pt>
                <c:pt idx="10">
                  <c:v>-0.22139148494288674</c:v>
                </c:pt>
                <c:pt idx="11">
                  <c:v>-0.21905737704918041</c:v>
                </c:pt>
                <c:pt idx="12">
                  <c:v>-0.21410303251735469</c:v>
                </c:pt>
                <c:pt idx="13">
                  <c:v>-0.22158438576349024</c:v>
                </c:pt>
                <c:pt idx="14">
                  <c:v>-0.21474601971190294</c:v>
                </c:pt>
                <c:pt idx="15">
                  <c:v>-0.22728003860382825</c:v>
                </c:pt>
                <c:pt idx="16">
                  <c:v>-0.22766749379652598</c:v>
                </c:pt>
                <c:pt idx="17">
                  <c:v>-0.23752969121140144</c:v>
                </c:pt>
                <c:pt idx="18">
                  <c:v>-0.22189606436181789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2F7-4151-9E78-ED8EBDCDE7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1916720"/>
        <c:axId val="423504784"/>
      </c:lineChart>
      <c:catAx>
        <c:axId val="1019167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3504784"/>
        <c:crosses val="autoZero"/>
        <c:auto val="1"/>
        <c:lblAlgn val="ctr"/>
        <c:lblOffset val="100"/>
        <c:noMultiLvlLbl val="0"/>
      </c:catAx>
      <c:valAx>
        <c:axId val="423504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191672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'1-1_Acceleration'!$C$2:$C$11</c:f>
              <c:numCache>
                <c:formatCode>General</c:formatCode>
                <c:ptCount val="10"/>
                <c:pt idx="0">
                  <c:v>6.4510000000000012E-2</c:v>
                </c:pt>
                <c:pt idx="1">
                  <c:v>6.4549999999999996E-2</c:v>
                </c:pt>
                <c:pt idx="2">
                  <c:v>5.4309999999999997E-2</c:v>
                </c:pt>
                <c:pt idx="3">
                  <c:v>5.9229999999999998E-2</c:v>
                </c:pt>
                <c:pt idx="4">
                  <c:v>4.9919999999999999E-2</c:v>
                </c:pt>
                <c:pt idx="5">
                  <c:v>5.0889999999999998E-2</c:v>
                </c:pt>
                <c:pt idx="6">
                  <c:v>5.0110000000000002E-2</c:v>
                </c:pt>
                <c:pt idx="7">
                  <c:v>5.6300000000000003E-2</c:v>
                </c:pt>
                <c:pt idx="8">
                  <c:v>5.6120000000000003E-2</c:v>
                </c:pt>
                <c:pt idx="9">
                  <c:v>5.4100000000000002E-2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A6-46D0-9EF2-1798C689167E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'1-1_Acceleration'!$D$2:$D$11</c:f>
              <c:numCache>
                <c:formatCode>General</c:formatCode>
                <c:ptCount val="10"/>
                <c:pt idx="0">
                  <c:v>0.12007</c:v>
                </c:pt>
                <c:pt idx="1">
                  <c:v>0.13819999999999999</c:v>
                </c:pt>
                <c:pt idx="2">
                  <c:v>0.12631000000000001</c:v>
                </c:pt>
                <c:pt idx="3">
                  <c:v>0.11303000000000001</c:v>
                </c:pt>
                <c:pt idx="4">
                  <c:v>9.4790000000000013E-2</c:v>
                </c:pt>
                <c:pt idx="5">
                  <c:v>7.7719999999999997E-2</c:v>
                </c:pt>
                <c:pt idx="6">
                  <c:v>7.7930000000000013E-2</c:v>
                </c:pt>
                <c:pt idx="7">
                  <c:v>6.966E-2</c:v>
                </c:pt>
                <c:pt idx="8">
                  <c:v>6.2049999999999987E-2</c:v>
                </c:pt>
                <c:pt idx="9">
                  <c:v>6.1940000000000002E-2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DA6-46D0-9EF2-1798C689167E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'1-1_Acceleration'!$E$2:$E$11</c:f>
              <c:numCache>
                <c:formatCode>General</c:formatCode>
                <c:ptCount val="10"/>
                <c:pt idx="0">
                  <c:v>0.12007</c:v>
                </c:pt>
                <c:pt idx="1">
                  <c:v>0.13821</c:v>
                </c:pt>
                <c:pt idx="2">
                  <c:v>0.1263</c:v>
                </c:pt>
                <c:pt idx="3">
                  <c:v>0.11305</c:v>
                </c:pt>
                <c:pt idx="4">
                  <c:v>9.4879999999999992E-2</c:v>
                </c:pt>
                <c:pt idx="5">
                  <c:v>7.7790000000000012E-2</c:v>
                </c:pt>
                <c:pt idx="6">
                  <c:v>7.7959999999999988E-2</c:v>
                </c:pt>
                <c:pt idx="7">
                  <c:v>7.1650000000000005E-2</c:v>
                </c:pt>
                <c:pt idx="8">
                  <c:v>6.6909999999999997E-2</c:v>
                </c:pt>
                <c:pt idx="9">
                  <c:v>6.5790000000000001E-2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DA6-46D0-9EF2-1798C68916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4688664"/>
        <c:axId val="654686864"/>
      </c:lineChart>
      <c:catAx>
        <c:axId val="65468866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54686864"/>
        <c:crosses val="autoZero"/>
        <c:auto val="1"/>
        <c:lblAlgn val="ctr"/>
        <c:lblOffset val="100"/>
        <c:noMultiLvlLbl val="0"/>
      </c:catAx>
      <c:valAx>
        <c:axId val="654686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54688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n-US"/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v>1月1日</c:v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'1-1_Acceleration'!$Q$30:$Q$39</c:f>
              <c:numCache>
                <c:formatCode>General</c:formatCode>
                <c:ptCount val="10"/>
                <c:pt idx="0">
                  <c:v>-1.1842728564659994E-3</c:v>
                </c:pt>
                <c:pt idx="1">
                  <c:v>-2.128682277003397E-3</c:v>
                </c:pt>
                <c:pt idx="2">
                  <c:v>-1.8043756108562532E-3</c:v>
                </c:pt>
                <c:pt idx="3">
                  <c:v>-2.8559428811424357E-3</c:v>
                </c:pt>
                <c:pt idx="4">
                  <c:v>-4.1032826261008177E-3</c:v>
                </c:pt>
                <c:pt idx="5">
                  <c:v>-4.5017642048912178E-3</c:v>
                </c:pt>
                <c:pt idx="6">
                  <c:v>-3.2810791104630737E-3</c:v>
                </c:pt>
                <c:pt idx="7">
                  <c:v>-8.1289798130335083E-3</c:v>
                </c:pt>
                <c:pt idx="8">
                  <c:v>-4.2965336440431233E-2</c:v>
                </c:pt>
                <c:pt idx="9">
                  <c:v>-3.0262572318646881E-2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56B-4239-A7D5-D64E7C59E7B9}"/>
            </c:ext>
          </c:extLst>
        </c:ser>
        <c:ser>
          <c:idx val="0"/>
          <c:order val="1"/>
          <c:marker>
            <c:symbol val="none"/>
          </c:marker>
          <c:val>
            <c:numRef>
              <c:f>'2-1_Acceleration'!$P$46:$P$64</c:f>
              <c:numCache>
                <c:formatCode>General</c:formatCode>
                <c:ptCount val="19"/>
                <c:pt idx="0">
                  <c:v>-4.3153618095970167E-2</c:v>
                </c:pt>
                <c:pt idx="1">
                  <c:v>-9.222823413674365E-2</c:v>
                </c:pt>
                <c:pt idx="2">
                  <c:v>-3.5151645054120724E-2</c:v>
                </c:pt>
                <c:pt idx="3">
                  <c:v>-7.7619826393256958E-2</c:v>
                </c:pt>
                <c:pt idx="4">
                  <c:v>-2.8933760157596539E-2</c:v>
                </c:pt>
                <c:pt idx="5">
                  <c:v>-6.457192274430669E-2</c:v>
                </c:pt>
                <c:pt idx="6">
                  <c:v>-5.321575186255105E-2</c:v>
                </c:pt>
                <c:pt idx="7">
                  <c:v>-2.7031680440771384E-2</c:v>
                </c:pt>
                <c:pt idx="8">
                  <c:v>-2.6530612244897972E-2</c:v>
                </c:pt>
                <c:pt idx="9">
                  <c:v>-1.9963702359346708E-2</c:v>
                </c:pt>
                <c:pt idx="10">
                  <c:v>-8.7605451005840166E-3</c:v>
                </c:pt>
                <c:pt idx="11">
                  <c:v>-1.3251155624036975E-2</c:v>
                </c:pt>
                <c:pt idx="12">
                  <c:v>-1.3424695846734757E-2</c:v>
                </c:pt>
                <c:pt idx="13">
                  <c:v>-1.0159446874559028E-2</c:v>
                </c:pt>
                <c:pt idx="14">
                  <c:v>-1.3049347532623512E-2</c:v>
                </c:pt>
                <c:pt idx="15">
                  <c:v>-1.0608462382636212E-2</c:v>
                </c:pt>
                <c:pt idx="16">
                  <c:v>-1.0275949659392542E-2</c:v>
                </c:pt>
                <c:pt idx="17">
                  <c:v>-1.1080958842152815E-2</c:v>
                </c:pt>
                <c:pt idx="18">
                  <c:v>-1.3297297297297393E-2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56B-4239-A7D5-D64E7C59E7B9}"/>
            </c:ext>
          </c:extLst>
        </c:ser>
        <c:ser>
          <c:idx val="2"/>
          <c:order val="2"/>
          <c:marker>
            <c:symbol val="none"/>
          </c:marker>
          <c:val>
            <c:numRef>
              <c:f>'3-1_Acceleration'!$P$46:$P$64</c:f>
              <c:numCache>
                <c:formatCode>General</c:formatCode>
                <c:ptCount val="19"/>
                <c:pt idx="0">
                  <c:v>-4.0948008437771055E-3</c:v>
                </c:pt>
                <c:pt idx="1">
                  <c:v>-3.6505538771397874E-3</c:v>
                </c:pt>
                <c:pt idx="2">
                  <c:v>-7.7925567647455464E-3</c:v>
                </c:pt>
                <c:pt idx="3">
                  <c:v>-5.6122448979594852E-3</c:v>
                </c:pt>
                <c:pt idx="4">
                  <c:v>-5.4801670146138268E-3</c:v>
                </c:pt>
                <c:pt idx="5">
                  <c:v>-4.3545878693624024E-3</c:v>
                </c:pt>
                <c:pt idx="6">
                  <c:v>-4.6189376443418421E-3</c:v>
                </c:pt>
                <c:pt idx="7">
                  <c:v>-4.4417524732484953E-3</c:v>
                </c:pt>
                <c:pt idx="8">
                  <c:v>-4.3438914027148804E-3</c:v>
                </c:pt>
                <c:pt idx="9">
                  <c:v>-8.9839572192512672E-3</c:v>
                </c:pt>
                <c:pt idx="10">
                  <c:v>-5.1921079958463182E-3</c:v>
                </c:pt>
                <c:pt idx="11">
                  <c:v>-6.1475409836065911E-3</c:v>
                </c:pt>
                <c:pt idx="12">
                  <c:v>-4.7497259773476479E-3</c:v>
                </c:pt>
                <c:pt idx="13">
                  <c:v>-4.4010715652506895E-3</c:v>
                </c:pt>
                <c:pt idx="14">
                  <c:v>-4.9279757391964231E-3</c:v>
                </c:pt>
                <c:pt idx="15">
                  <c:v>-4.3429306739586025E-3</c:v>
                </c:pt>
                <c:pt idx="16">
                  <c:v>-4.8387096774193733E-3</c:v>
                </c:pt>
                <c:pt idx="17">
                  <c:v>-5.2784375824757382E-3</c:v>
                </c:pt>
                <c:pt idx="18">
                  <c:v>-4.457490758860704E-3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56B-4239-A7D5-D64E7C59E7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1916720"/>
        <c:axId val="423504784"/>
      </c:lineChart>
      <c:catAx>
        <c:axId val="1019167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3504784"/>
        <c:crosses val="autoZero"/>
        <c:auto val="1"/>
        <c:lblAlgn val="ctr"/>
        <c:lblOffset val="100"/>
        <c:noMultiLvlLbl val="0"/>
      </c:catAx>
      <c:valAx>
        <c:axId val="423504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191672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n-US"/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'2-1_Acceleration'!$C$2:$C$20</c:f>
              <c:numCache>
                <c:formatCode>General</c:formatCode>
                <c:ptCount val="19"/>
                <c:pt idx="0">
                  <c:v>5.9330000000000001E-2</c:v>
                </c:pt>
                <c:pt idx="1">
                  <c:v>6.0400000000000002E-2</c:v>
                </c:pt>
                <c:pt idx="2">
                  <c:v>6.0840000000000012E-2</c:v>
                </c:pt>
                <c:pt idx="3">
                  <c:v>5.8270000000000002E-2</c:v>
                </c:pt>
                <c:pt idx="4">
                  <c:v>5.4710000000000002E-2</c:v>
                </c:pt>
                <c:pt idx="5">
                  <c:v>4.9709999999999997E-2</c:v>
                </c:pt>
                <c:pt idx="6">
                  <c:v>4.4650000000000002E-2</c:v>
                </c:pt>
                <c:pt idx="7">
                  <c:v>3.3939999999999998E-2</c:v>
                </c:pt>
                <c:pt idx="8">
                  <c:v>3.3250000000000002E-2</c:v>
                </c:pt>
                <c:pt idx="9">
                  <c:v>3.177E-2</c:v>
                </c:pt>
                <c:pt idx="10">
                  <c:v>2.7689999999999999E-2</c:v>
                </c:pt>
                <c:pt idx="11">
                  <c:v>2.699E-2</c:v>
                </c:pt>
                <c:pt idx="12">
                  <c:v>2.8320000000000001E-2</c:v>
                </c:pt>
                <c:pt idx="13">
                  <c:v>2.6579999999999999E-2</c:v>
                </c:pt>
                <c:pt idx="14">
                  <c:v>2.7050000000000001E-2</c:v>
                </c:pt>
                <c:pt idx="15">
                  <c:v>2.9239999999999999E-2</c:v>
                </c:pt>
                <c:pt idx="16">
                  <c:v>3.3660000000000002E-2</c:v>
                </c:pt>
                <c:pt idx="17">
                  <c:v>3.6679999999999997E-2</c:v>
                </c:pt>
                <c:pt idx="18">
                  <c:v>3.7580000000000002E-2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AAF-4972-B18A-1F7267D939E2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'2-1_Acceleration'!$D$2:$D$20</c:f>
              <c:numCache>
                <c:formatCode>General</c:formatCode>
                <c:ptCount val="19"/>
                <c:pt idx="0">
                  <c:v>8.0399999999999999E-2</c:v>
                </c:pt>
                <c:pt idx="1">
                  <c:v>6.8069999999999992E-2</c:v>
                </c:pt>
                <c:pt idx="2">
                  <c:v>8.3290000000000003E-2</c:v>
                </c:pt>
                <c:pt idx="3">
                  <c:v>6.7720000000000002E-2</c:v>
                </c:pt>
                <c:pt idx="4">
                  <c:v>7.2819999999999996E-2</c:v>
                </c:pt>
                <c:pt idx="5">
                  <c:v>5.9909999999999998E-2</c:v>
                </c:pt>
                <c:pt idx="6">
                  <c:v>5.7419999999999999E-2</c:v>
                </c:pt>
                <c:pt idx="7">
                  <c:v>5.2159999999999998E-2</c:v>
                </c:pt>
                <c:pt idx="8">
                  <c:v>4.8460000000000003E-2</c:v>
                </c:pt>
                <c:pt idx="9">
                  <c:v>4.9889999999999997E-2</c:v>
                </c:pt>
                <c:pt idx="10">
                  <c:v>5.6550000000000003E-2</c:v>
                </c:pt>
                <c:pt idx="11">
                  <c:v>5.917E-2</c:v>
                </c:pt>
                <c:pt idx="12">
                  <c:v>6.522E-2</c:v>
                </c:pt>
                <c:pt idx="13">
                  <c:v>6.4890000000000003E-2</c:v>
                </c:pt>
                <c:pt idx="14">
                  <c:v>6.0859999999999997E-2</c:v>
                </c:pt>
                <c:pt idx="15">
                  <c:v>7.51E-2</c:v>
                </c:pt>
                <c:pt idx="16">
                  <c:v>7.9430000000000001E-2</c:v>
                </c:pt>
                <c:pt idx="17">
                  <c:v>8.1009999999999999E-2</c:v>
                </c:pt>
                <c:pt idx="18">
                  <c:v>8.4610000000000005E-2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AAF-4972-B18A-1F7267D939E2}"/>
            </c:ext>
          </c:extLst>
        </c:ser>
        <c:ser>
          <c:idx val="2"/>
          <c:order val="2"/>
          <c:tx>
            <c:strRef>
              <c:f>'2-1_Acceleration'!$C$22</c:f>
              <c:strCache>
                <c:ptCount val="1"/>
                <c:pt idx="0">
                  <c:v>P54000059_range_2D_extreme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val>
            <c:numRef>
              <c:f>'2-1_Acceleration'!$C$23:$C$41</c:f>
              <c:numCache>
                <c:formatCode>General</c:formatCode>
                <c:ptCount val="19"/>
                <c:pt idx="0">
                  <c:v>9.1069999999999998E-2</c:v>
                </c:pt>
                <c:pt idx="1">
                  <c:v>8.131999999999999E-2</c:v>
                </c:pt>
                <c:pt idx="2">
                  <c:v>9.3310000000000004E-2</c:v>
                </c:pt>
                <c:pt idx="3">
                  <c:v>7.9489999999999991E-2</c:v>
                </c:pt>
                <c:pt idx="4">
                  <c:v>8.1220000000000001E-2</c:v>
                </c:pt>
                <c:pt idx="5">
                  <c:v>6.9379999999999997E-2</c:v>
                </c:pt>
                <c:pt idx="6">
                  <c:v>6.5769999999999995E-2</c:v>
                </c:pt>
                <c:pt idx="7">
                  <c:v>5.808E-2</c:v>
                </c:pt>
                <c:pt idx="8">
                  <c:v>5.3900000000000003E-2</c:v>
                </c:pt>
                <c:pt idx="9">
                  <c:v>5.5100000000000003E-2</c:v>
                </c:pt>
                <c:pt idx="10">
                  <c:v>6.164E-2</c:v>
                </c:pt>
                <c:pt idx="11">
                  <c:v>6.4899999999999999E-2</c:v>
                </c:pt>
                <c:pt idx="12">
                  <c:v>7.1510000000000004E-2</c:v>
                </c:pt>
                <c:pt idx="13">
                  <c:v>7.0870000000000002E-2</c:v>
                </c:pt>
                <c:pt idx="14">
                  <c:v>6.6670000000000007E-2</c:v>
                </c:pt>
                <c:pt idx="15">
                  <c:v>8.201E-2</c:v>
                </c:pt>
                <c:pt idx="16">
                  <c:v>8.6609999999999993E-2</c:v>
                </c:pt>
                <c:pt idx="17">
                  <c:v>8.8439999999999991E-2</c:v>
                </c:pt>
                <c:pt idx="18">
                  <c:v>9.2499999999999999E-2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AAF-4972-B18A-1F7267D939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1920952"/>
        <c:axId val="651921312"/>
      </c:lineChart>
      <c:catAx>
        <c:axId val="65192095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51921312"/>
        <c:crosses val="autoZero"/>
        <c:auto val="1"/>
        <c:lblAlgn val="ctr"/>
        <c:lblOffset val="100"/>
        <c:noMultiLvlLbl val="0"/>
      </c:catAx>
      <c:valAx>
        <c:axId val="65192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5192095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n-US"/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'2-1_Acceleration'!$D$46:$D$64</c:f>
              <c:numCache>
                <c:formatCode>General</c:formatCode>
                <c:ptCount val="19"/>
                <c:pt idx="0">
                  <c:v>-0.11716262215877896</c:v>
                </c:pt>
                <c:pt idx="1">
                  <c:v>-0.16293654697491392</c:v>
                </c:pt>
                <c:pt idx="2">
                  <c:v>-0.10738398885435646</c:v>
                </c:pt>
                <c:pt idx="3">
                  <c:v>-0.14806893948924379</c:v>
                </c:pt>
                <c:pt idx="4">
                  <c:v>-0.10342280226545192</c:v>
                </c:pt>
                <c:pt idx="5">
                  <c:v>-0.13649466705102334</c:v>
                </c:pt>
                <c:pt idx="6">
                  <c:v>-0.12695757944351524</c:v>
                </c:pt>
                <c:pt idx="7">
                  <c:v>-0.10192837465564741</c:v>
                </c:pt>
                <c:pt idx="8">
                  <c:v>-0.10092764378478664</c:v>
                </c:pt>
                <c:pt idx="9">
                  <c:v>-9.4555353901996472E-2</c:v>
                </c:pt>
                <c:pt idx="10">
                  <c:v>-8.2576249188838366E-2</c:v>
                </c:pt>
                <c:pt idx="11">
                  <c:v>-8.8289676425269636E-2</c:v>
                </c:pt>
                <c:pt idx="12">
                  <c:v>-8.7959725912459846E-2</c:v>
                </c:pt>
                <c:pt idx="13">
                  <c:v>-8.4379850430365444E-2</c:v>
                </c:pt>
                <c:pt idx="14">
                  <c:v>-8.7145642717864236E-2</c:v>
                </c:pt>
                <c:pt idx="15">
                  <c:v>-8.4258017314961589E-2</c:v>
                </c:pt>
                <c:pt idx="16">
                  <c:v>-8.2900357926336363E-2</c:v>
                </c:pt>
                <c:pt idx="17">
                  <c:v>-8.4011759384893636E-2</c:v>
                </c:pt>
                <c:pt idx="18">
                  <c:v>-8.5297297297297237E-2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3B-4E16-B5D4-7EC1B0D415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1827640"/>
        <c:axId val="631829440"/>
      </c:lineChart>
      <c:catAx>
        <c:axId val="6318276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1829440"/>
        <c:crosses val="autoZero"/>
        <c:auto val="1"/>
        <c:lblAlgn val="ctr"/>
        <c:lblOffset val="100"/>
        <c:noMultiLvlLbl val="0"/>
      </c:catAx>
      <c:valAx>
        <c:axId val="631829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182764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n-US"/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'3-1_Acceleration'!$P$46:$P$64</c:f>
              <c:numCache>
                <c:formatCode>General</c:formatCode>
                <c:ptCount val="19"/>
                <c:pt idx="0">
                  <c:v>-4.0948008437771055E-3</c:v>
                </c:pt>
                <c:pt idx="1">
                  <c:v>-3.6505538771397874E-3</c:v>
                </c:pt>
                <c:pt idx="2">
                  <c:v>-7.7925567647455464E-3</c:v>
                </c:pt>
                <c:pt idx="3">
                  <c:v>-5.6122448979594852E-3</c:v>
                </c:pt>
                <c:pt idx="4">
                  <c:v>-5.4801670146138268E-3</c:v>
                </c:pt>
                <c:pt idx="5">
                  <c:v>-4.3545878693624024E-3</c:v>
                </c:pt>
                <c:pt idx="6">
                  <c:v>-4.6189376443418421E-3</c:v>
                </c:pt>
                <c:pt idx="7">
                  <c:v>-4.4417524732484953E-3</c:v>
                </c:pt>
                <c:pt idx="8">
                  <c:v>-4.3438914027148804E-3</c:v>
                </c:pt>
                <c:pt idx="9">
                  <c:v>-8.9839572192512672E-3</c:v>
                </c:pt>
                <c:pt idx="10">
                  <c:v>-5.1921079958463182E-3</c:v>
                </c:pt>
                <c:pt idx="11">
                  <c:v>-6.1475409836065911E-3</c:v>
                </c:pt>
                <c:pt idx="12">
                  <c:v>-4.7497259773476479E-3</c:v>
                </c:pt>
                <c:pt idx="13">
                  <c:v>-4.4010715652506895E-3</c:v>
                </c:pt>
                <c:pt idx="14">
                  <c:v>-4.9279757391964231E-3</c:v>
                </c:pt>
                <c:pt idx="15">
                  <c:v>-4.3429306739586025E-3</c:v>
                </c:pt>
                <c:pt idx="16">
                  <c:v>-4.8387096774193733E-3</c:v>
                </c:pt>
                <c:pt idx="17">
                  <c:v>-5.2784375824757382E-3</c:v>
                </c:pt>
                <c:pt idx="18">
                  <c:v>-4.457490758860704E-3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57C-4654-BDDA-C00FA9A716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4561392"/>
        <c:axId val="664562112"/>
      </c:lineChart>
      <c:catAx>
        <c:axId val="66456139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64562112"/>
        <c:crosses val="autoZero"/>
        <c:auto val="1"/>
        <c:lblAlgn val="ctr"/>
        <c:lblOffset val="100"/>
        <c:noMultiLvlLbl val="0"/>
      </c:catAx>
      <c:valAx>
        <c:axId val="664562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645613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n-US"/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'3-1_Acceleration'!$C$2:$C$20</c:f>
              <c:numCache>
                <c:formatCode>General</c:formatCode>
                <c:ptCount val="19"/>
                <c:pt idx="0">
                  <c:v>4.768E-2</c:v>
                </c:pt>
                <c:pt idx="1">
                  <c:v>4.616E-2</c:v>
                </c:pt>
                <c:pt idx="2">
                  <c:v>4.6210000000000001E-2</c:v>
                </c:pt>
                <c:pt idx="3">
                  <c:v>4.5249999999999999E-2</c:v>
                </c:pt>
                <c:pt idx="4">
                  <c:v>4.4200000000000003E-2</c:v>
                </c:pt>
                <c:pt idx="5">
                  <c:v>4.1020000000000001E-2</c:v>
                </c:pt>
                <c:pt idx="6">
                  <c:v>3.7190000000000001E-2</c:v>
                </c:pt>
                <c:pt idx="7">
                  <c:v>3.329E-2</c:v>
                </c:pt>
                <c:pt idx="8">
                  <c:v>3.0089999999999999E-2</c:v>
                </c:pt>
                <c:pt idx="9">
                  <c:v>2.845E-2</c:v>
                </c:pt>
                <c:pt idx="10">
                  <c:v>2.3949999999999999E-2</c:v>
                </c:pt>
                <c:pt idx="11">
                  <c:v>2.3109999999999999E-2</c:v>
                </c:pt>
                <c:pt idx="12">
                  <c:v>2.3300000000000001E-2</c:v>
                </c:pt>
                <c:pt idx="13">
                  <c:v>2.4250000000000001E-2</c:v>
                </c:pt>
                <c:pt idx="14">
                  <c:v>2.0820000000000002E-2</c:v>
                </c:pt>
                <c:pt idx="15">
                  <c:v>2.785E-2</c:v>
                </c:pt>
                <c:pt idx="16">
                  <c:v>2.6429999999999999E-2</c:v>
                </c:pt>
                <c:pt idx="17">
                  <c:v>2.6620000000000001E-2</c:v>
                </c:pt>
                <c:pt idx="18">
                  <c:v>2.8340000000000001E-2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2D-4009-A908-52B553274F12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'3-1_Acceleration'!$D$2:$D$20</c:f>
              <c:numCache>
                <c:formatCode>General</c:formatCode>
                <c:ptCount val="19"/>
                <c:pt idx="0">
                  <c:v>6.2020000000000013E-2</c:v>
                </c:pt>
                <c:pt idx="1">
                  <c:v>6.2280000000000002E-2</c:v>
                </c:pt>
                <c:pt idx="2">
                  <c:v>5.808E-2</c:v>
                </c:pt>
                <c:pt idx="3">
                  <c:v>6.1590000000000013E-2</c:v>
                </c:pt>
                <c:pt idx="4">
                  <c:v>5.9889999999999999E-2</c:v>
                </c:pt>
                <c:pt idx="5">
                  <c:v>4.9119999999999997E-2</c:v>
                </c:pt>
                <c:pt idx="6">
                  <c:v>4.7100000000000003E-2</c:v>
                </c:pt>
                <c:pt idx="7">
                  <c:v>3.8700000000000012E-2</c:v>
                </c:pt>
                <c:pt idx="8">
                  <c:v>4.3150000000000001E-2</c:v>
                </c:pt>
                <c:pt idx="9">
                  <c:v>3.6380000000000003E-2</c:v>
                </c:pt>
                <c:pt idx="10">
                  <c:v>3.7490000000000002E-2</c:v>
                </c:pt>
                <c:pt idx="11">
                  <c:v>3.8109999999999998E-2</c:v>
                </c:pt>
                <c:pt idx="12">
                  <c:v>4.3020000000000003E-2</c:v>
                </c:pt>
                <c:pt idx="13">
                  <c:v>4.0680000000000001E-2</c:v>
                </c:pt>
                <c:pt idx="14">
                  <c:v>4.1430000000000002E-2</c:v>
                </c:pt>
                <c:pt idx="15">
                  <c:v>4.8039999999999999E-2</c:v>
                </c:pt>
                <c:pt idx="16">
                  <c:v>6.225E-2</c:v>
                </c:pt>
                <c:pt idx="17">
                  <c:v>5.7779999999999998E-2</c:v>
                </c:pt>
                <c:pt idx="18">
                  <c:v>7.1569999999999995E-2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42D-4009-A908-52B553274F12}"/>
            </c:ext>
          </c:extLst>
        </c:ser>
        <c:ser>
          <c:idx val="2"/>
          <c:order val="2"/>
          <c:tx>
            <c:strRef>
              <c:f>'3-1_Acceleration'!$C$22</c:f>
              <c:strCache>
                <c:ptCount val="1"/>
                <c:pt idx="0">
                  <c:v>P54000066_range_2D_extreme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val>
            <c:numRef>
              <c:f>'3-1_Acceleration'!$C$23:$C$41</c:f>
              <c:numCache>
                <c:formatCode>General</c:formatCode>
                <c:ptCount val="19"/>
                <c:pt idx="0">
                  <c:v>8.0590000000000009E-2</c:v>
                </c:pt>
                <c:pt idx="1">
                  <c:v>7.9439999999999997E-2</c:v>
                </c:pt>
                <c:pt idx="2">
                  <c:v>7.443000000000001E-2</c:v>
                </c:pt>
                <c:pt idx="3">
                  <c:v>7.8400000000000011E-2</c:v>
                </c:pt>
                <c:pt idx="4">
                  <c:v>7.664E-2</c:v>
                </c:pt>
                <c:pt idx="5">
                  <c:v>6.4299999999999996E-2</c:v>
                </c:pt>
                <c:pt idx="6">
                  <c:v>6.062E-2</c:v>
                </c:pt>
                <c:pt idx="7">
                  <c:v>4.9529999999999998E-2</c:v>
                </c:pt>
                <c:pt idx="8">
                  <c:v>5.525E-2</c:v>
                </c:pt>
                <c:pt idx="9">
                  <c:v>4.675E-2</c:v>
                </c:pt>
                <c:pt idx="10">
                  <c:v>4.8149999999999998E-2</c:v>
                </c:pt>
                <c:pt idx="11">
                  <c:v>4.8800000000000003E-2</c:v>
                </c:pt>
                <c:pt idx="12">
                  <c:v>5.4739999999999997E-2</c:v>
                </c:pt>
                <c:pt idx="13">
                  <c:v>5.2260000000000001E-2</c:v>
                </c:pt>
                <c:pt idx="14">
                  <c:v>5.2760000000000001E-2</c:v>
                </c:pt>
                <c:pt idx="15">
                  <c:v>6.2170000000000003E-2</c:v>
                </c:pt>
                <c:pt idx="16">
                  <c:v>8.0599999999999991E-2</c:v>
                </c:pt>
                <c:pt idx="17">
                  <c:v>7.578E-2</c:v>
                </c:pt>
                <c:pt idx="18">
                  <c:v>9.1980000000000006E-2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42D-4009-A908-52B553274F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7422168"/>
        <c:axId val="656704936"/>
      </c:lineChart>
      <c:catAx>
        <c:axId val="66742216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56704936"/>
        <c:crosses val="autoZero"/>
        <c:auto val="1"/>
        <c:lblAlgn val="ctr"/>
        <c:lblOffset val="100"/>
        <c:noMultiLvlLbl val="0"/>
      </c:catAx>
      <c:valAx>
        <c:axId val="656704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67422168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n-US"/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'3-1_Acceleration'!$D$46:$D$64</c:f>
              <c:numCache>
                <c:formatCode>General</c:formatCode>
                <c:ptCount val="19"/>
                <c:pt idx="0">
                  <c:v>-0.23042561111800464</c:v>
                </c:pt>
                <c:pt idx="1">
                  <c:v>-0.21601208459214497</c:v>
                </c:pt>
                <c:pt idx="2">
                  <c:v>-0.21966948810963333</c:v>
                </c:pt>
                <c:pt idx="3">
                  <c:v>-0.2144132653061224</c:v>
                </c:pt>
                <c:pt idx="4">
                  <c:v>-0.21855427974947808</c:v>
                </c:pt>
                <c:pt idx="5">
                  <c:v>-0.23608087091757388</c:v>
                </c:pt>
                <c:pt idx="6">
                  <c:v>-0.22302870339821837</c:v>
                </c:pt>
                <c:pt idx="7">
                  <c:v>-0.21865536038764358</c:v>
                </c:pt>
                <c:pt idx="8">
                  <c:v>-0.21900452488687783</c:v>
                </c:pt>
                <c:pt idx="9">
                  <c:v>-0.22181818181818175</c:v>
                </c:pt>
                <c:pt idx="10">
                  <c:v>-0.22139148494288674</c:v>
                </c:pt>
                <c:pt idx="11">
                  <c:v>-0.21905737704918041</c:v>
                </c:pt>
                <c:pt idx="12">
                  <c:v>-0.21410303251735469</c:v>
                </c:pt>
                <c:pt idx="13">
                  <c:v>-0.22158438576349024</c:v>
                </c:pt>
                <c:pt idx="14">
                  <c:v>-0.21474601971190294</c:v>
                </c:pt>
                <c:pt idx="15">
                  <c:v>-0.22728003860382825</c:v>
                </c:pt>
                <c:pt idx="16">
                  <c:v>-0.22766749379652598</c:v>
                </c:pt>
                <c:pt idx="17">
                  <c:v>-0.23752969121140144</c:v>
                </c:pt>
                <c:pt idx="18">
                  <c:v>-0.22189606436181789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A01-451C-9F92-B2323DB856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4561392"/>
        <c:axId val="664562112"/>
      </c:lineChart>
      <c:catAx>
        <c:axId val="66456139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64562112"/>
        <c:crosses val="autoZero"/>
        <c:auto val="1"/>
        <c:lblAlgn val="ctr"/>
        <c:lblOffset val="100"/>
        <c:noMultiLvlLbl val="0"/>
      </c:catAx>
      <c:valAx>
        <c:axId val="664562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645613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n-US"/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'3-1_Acceleration'!$P$46:$P$64</c:f>
              <c:numCache>
                <c:formatCode>General</c:formatCode>
                <c:ptCount val="19"/>
                <c:pt idx="0">
                  <c:v>-4.0948008437771055E-3</c:v>
                </c:pt>
                <c:pt idx="1">
                  <c:v>-3.6505538771397874E-3</c:v>
                </c:pt>
                <c:pt idx="2">
                  <c:v>-7.7925567647455464E-3</c:v>
                </c:pt>
                <c:pt idx="3">
                  <c:v>-5.6122448979594852E-3</c:v>
                </c:pt>
                <c:pt idx="4">
                  <c:v>-5.4801670146138268E-3</c:v>
                </c:pt>
                <c:pt idx="5">
                  <c:v>-4.3545878693624024E-3</c:v>
                </c:pt>
                <c:pt idx="6">
                  <c:v>-4.6189376443418421E-3</c:v>
                </c:pt>
                <c:pt idx="7">
                  <c:v>-4.4417524732484953E-3</c:v>
                </c:pt>
                <c:pt idx="8">
                  <c:v>-4.3438914027148804E-3</c:v>
                </c:pt>
                <c:pt idx="9">
                  <c:v>-8.9839572192512672E-3</c:v>
                </c:pt>
                <c:pt idx="10">
                  <c:v>-5.1921079958463182E-3</c:v>
                </c:pt>
                <c:pt idx="11">
                  <c:v>-6.1475409836065911E-3</c:v>
                </c:pt>
                <c:pt idx="12">
                  <c:v>-4.7497259773476479E-3</c:v>
                </c:pt>
                <c:pt idx="13">
                  <c:v>-4.4010715652506895E-3</c:v>
                </c:pt>
                <c:pt idx="14">
                  <c:v>-4.9279757391964231E-3</c:v>
                </c:pt>
                <c:pt idx="15">
                  <c:v>-4.3429306739586025E-3</c:v>
                </c:pt>
                <c:pt idx="16">
                  <c:v>-4.8387096774193733E-3</c:v>
                </c:pt>
                <c:pt idx="17">
                  <c:v>-5.2784375824757382E-3</c:v>
                </c:pt>
                <c:pt idx="18">
                  <c:v>-4.457490758860704E-3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5D-42D1-BC5A-BB1883E454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4561392"/>
        <c:axId val="664562112"/>
      </c:lineChart>
      <c:catAx>
        <c:axId val="66456139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64562112"/>
        <c:crosses val="autoZero"/>
        <c:auto val="1"/>
        <c:lblAlgn val="ctr"/>
        <c:lblOffset val="100"/>
        <c:noMultiLvlLbl val="0"/>
      </c:catAx>
      <c:valAx>
        <c:axId val="664562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645613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SAP2000</a:t>
            </a:r>
            <a:endParaRPr lang="zh-CN" alt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结果对比!$E$4</c:f>
              <c:strCache>
                <c:ptCount val="1"/>
                <c:pt idx="0">
                  <c:v>X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结果对比!$E$5:$E$14</c:f>
              <c:numCache>
                <c:formatCode>General</c:formatCode>
                <c:ptCount val="10"/>
                <c:pt idx="0">
                  <c:v>6.473000000000001E-2</c:v>
                </c:pt>
                <c:pt idx="1">
                  <c:v>6.5129999999999993E-2</c:v>
                </c:pt>
                <c:pt idx="2">
                  <c:v>5.525E-2</c:v>
                </c:pt>
                <c:pt idx="3">
                  <c:v>6.012E-2</c:v>
                </c:pt>
                <c:pt idx="4">
                  <c:v>5.0380000000000001E-2</c:v>
                </c:pt>
                <c:pt idx="5">
                  <c:v>5.1290000000000002E-2</c:v>
                </c:pt>
                <c:pt idx="6">
                  <c:v>5.0360000000000002E-2</c:v>
                </c:pt>
                <c:pt idx="7">
                  <c:v>5.5879999999999999E-2</c:v>
                </c:pt>
                <c:pt idx="8">
                  <c:v>5.525E-2</c:v>
                </c:pt>
                <c:pt idx="9">
                  <c:v>5.3179999999999998E-2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C60-42C5-B9FB-95409A9CF92B}"/>
            </c:ext>
          </c:extLst>
        </c:ser>
        <c:ser>
          <c:idx val="1"/>
          <c:order val="1"/>
          <c:tx>
            <c:strRef>
              <c:f>结果对比!$F$4</c:f>
              <c:strCache>
                <c:ptCount val="1"/>
                <c:pt idx="0">
                  <c:v>Y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结果对比!$F$5:$F$14</c:f>
              <c:numCache>
                <c:formatCode>General</c:formatCode>
                <c:ptCount val="10"/>
                <c:pt idx="0">
                  <c:v>0.12651000000000001</c:v>
                </c:pt>
                <c:pt idx="1">
                  <c:v>0.14532</c:v>
                </c:pt>
                <c:pt idx="2">
                  <c:v>0.13277</c:v>
                </c:pt>
                <c:pt idx="3">
                  <c:v>0.11871</c:v>
                </c:pt>
                <c:pt idx="4">
                  <c:v>9.9510000000000001E-2</c:v>
                </c:pt>
                <c:pt idx="5">
                  <c:v>8.181999999999999E-2</c:v>
                </c:pt>
                <c:pt idx="6">
                  <c:v>8.2019999999999996E-2</c:v>
                </c:pt>
                <c:pt idx="7">
                  <c:v>7.3209999999999997E-2</c:v>
                </c:pt>
                <c:pt idx="8">
                  <c:v>6.5709999999999991E-2</c:v>
                </c:pt>
                <c:pt idx="9">
                  <c:v>6.5370000000000011E-2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C60-42C5-B9FB-95409A9CF92B}"/>
            </c:ext>
          </c:extLst>
        </c:ser>
        <c:ser>
          <c:idx val="2"/>
          <c:order val="2"/>
          <c:tx>
            <c:strRef>
              <c:f>结果对比!$G$4</c:f>
              <c:strCache>
                <c:ptCount val="1"/>
                <c:pt idx="0">
                  <c:v>A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val>
            <c:numRef>
              <c:f>结果对比!$G$5:$G$14</c:f>
              <c:numCache>
                <c:formatCode>General</c:formatCode>
                <c:ptCount val="10"/>
                <c:pt idx="0">
                  <c:v>0.12665999999999999</c:v>
                </c:pt>
                <c:pt idx="1">
                  <c:v>0.14563000000000001</c:v>
                </c:pt>
                <c:pt idx="2">
                  <c:v>0.13300999999999999</c:v>
                </c:pt>
                <c:pt idx="3">
                  <c:v>0.11905</c:v>
                </c:pt>
                <c:pt idx="4">
                  <c:v>9.9919999999999995E-2</c:v>
                </c:pt>
                <c:pt idx="5">
                  <c:v>8.2189999999999999E-2</c:v>
                </c:pt>
                <c:pt idx="6">
                  <c:v>8.2290000000000002E-2</c:v>
                </c:pt>
                <c:pt idx="7">
                  <c:v>7.3810000000000001E-2</c:v>
                </c:pt>
                <c:pt idx="8">
                  <c:v>6.8659999999999999E-2</c:v>
                </c:pt>
                <c:pt idx="9">
                  <c:v>6.7409999999999998E-2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C60-42C5-B9FB-95409A9CF9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4487208"/>
        <c:axId val="694487928"/>
      </c:lineChart>
      <c:catAx>
        <c:axId val="6944872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4487928"/>
        <c:crosses val="autoZero"/>
        <c:auto val="1"/>
        <c:lblAlgn val="ctr"/>
        <c:lblOffset val="100"/>
        <c:noMultiLvlLbl val="0"/>
      </c:catAx>
      <c:valAx>
        <c:axId val="694487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4487208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MATLAB</a:t>
            </a:r>
            <a:endParaRPr lang="zh-CN" alt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结果对比!$B$4</c:f>
              <c:strCache>
                <c:ptCount val="1"/>
                <c:pt idx="0">
                  <c:v>X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结果对比!$B$5:$B$14</c:f>
              <c:numCache>
                <c:formatCode>General</c:formatCode>
                <c:ptCount val="10"/>
                <c:pt idx="0">
                  <c:v>0.14461754225656301</c:v>
                </c:pt>
                <c:pt idx="1">
                  <c:v>0.14574383059780099</c:v>
                </c:pt>
                <c:pt idx="2">
                  <c:v>0.123218319821101</c:v>
                </c:pt>
                <c:pt idx="3">
                  <c:v>0.119190932832967</c:v>
                </c:pt>
                <c:pt idx="4">
                  <c:v>0.105740550632465</c:v>
                </c:pt>
                <c:pt idx="5">
                  <c:v>0.113151330133636</c:v>
                </c:pt>
                <c:pt idx="6">
                  <c:v>0.10481180814546701</c:v>
                </c:pt>
                <c:pt idx="7">
                  <c:v>0.11044656620889901</c:v>
                </c:pt>
                <c:pt idx="8">
                  <c:v>0.102752485148652</c:v>
                </c:pt>
                <c:pt idx="9">
                  <c:v>9.72536592135958E-2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D5-49BE-AAC5-ED199C2610FC}"/>
            </c:ext>
          </c:extLst>
        </c:ser>
        <c:ser>
          <c:idx val="1"/>
          <c:order val="1"/>
          <c:tx>
            <c:strRef>
              <c:f>结果对比!$C$4</c:f>
              <c:strCache>
                <c:ptCount val="1"/>
                <c:pt idx="0">
                  <c:v>Y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结果对比!$C$5:$C$14</c:f>
              <c:numCache>
                <c:formatCode>General</c:formatCode>
                <c:ptCount val="10"/>
                <c:pt idx="0">
                  <c:v>0.22422937900353401</c:v>
                </c:pt>
                <c:pt idx="1">
                  <c:v>0.23891485265779699</c:v>
                </c:pt>
                <c:pt idx="2">
                  <c:v>0.195550423711429</c:v>
                </c:pt>
                <c:pt idx="3">
                  <c:v>0.19996638206058301</c:v>
                </c:pt>
                <c:pt idx="4">
                  <c:v>0.14722937110335699</c:v>
                </c:pt>
                <c:pt idx="5">
                  <c:v>0.11653426316692</c:v>
                </c:pt>
                <c:pt idx="6">
                  <c:v>0.12734449340182</c:v>
                </c:pt>
                <c:pt idx="7">
                  <c:v>0.114415712852866</c:v>
                </c:pt>
                <c:pt idx="8">
                  <c:v>9.6404404302761398E-2</c:v>
                </c:pt>
                <c:pt idx="9">
                  <c:v>0.10631356936144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D5-49BE-AAC5-ED199C2610FC}"/>
            </c:ext>
          </c:extLst>
        </c:ser>
        <c:ser>
          <c:idx val="2"/>
          <c:order val="2"/>
          <c:tx>
            <c:strRef>
              <c:f>结果对比!$D$4</c:f>
              <c:strCache>
                <c:ptCount val="1"/>
                <c:pt idx="0">
                  <c:v>A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val>
            <c:numRef>
              <c:f>结果对比!$D$5:$D$14</c:f>
              <c:numCache>
                <c:formatCode>General</c:formatCode>
                <c:ptCount val="10"/>
                <c:pt idx="0">
                  <c:v>0.22881801939514301</c:v>
                </c:pt>
                <c:pt idx="1">
                  <c:v>0.242018594909096</c:v>
                </c:pt>
                <c:pt idx="2">
                  <c:v>0.19790102555998401</c:v>
                </c:pt>
                <c:pt idx="3">
                  <c:v>0.201287478382664</c:v>
                </c:pt>
                <c:pt idx="4">
                  <c:v>0.150365553159441</c:v>
                </c:pt>
                <c:pt idx="5">
                  <c:v>0.129943884511105</c:v>
                </c:pt>
                <c:pt idx="6">
                  <c:v>0.13194455836051999</c:v>
                </c:pt>
                <c:pt idx="7">
                  <c:v>0.12722112864763599</c:v>
                </c:pt>
                <c:pt idx="8">
                  <c:v>0.112717366536148</c:v>
                </c:pt>
                <c:pt idx="9">
                  <c:v>0.115269005057364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D5-49BE-AAC5-ED199C2610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5471136"/>
        <c:axId val="694037728"/>
      </c:lineChart>
      <c:catAx>
        <c:axId val="69547113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4037728"/>
        <c:crosses val="autoZero"/>
        <c:auto val="1"/>
        <c:lblAlgn val="ctr"/>
        <c:lblOffset val="100"/>
        <c:noMultiLvlLbl val="0"/>
      </c:catAx>
      <c:valAx>
        <c:axId val="694037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5471136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MATLAB</a:t>
            </a:r>
            <a:endParaRPr lang="zh-CN" alt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结果对比!$B$29</c:f>
              <c:strCache>
                <c:ptCount val="1"/>
                <c:pt idx="0">
                  <c:v>X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结果对比!$B$30:$B$48</c:f>
              <c:numCache>
                <c:formatCode>General</c:formatCode>
                <c:ptCount val="19"/>
                <c:pt idx="0">
                  <c:v>0.13223209299999999</c:v>
                </c:pt>
                <c:pt idx="1">
                  <c:v>0.121683868</c:v>
                </c:pt>
                <c:pt idx="2">
                  <c:v>0.12946930800000001</c:v>
                </c:pt>
                <c:pt idx="3">
                  <c:v>0.119927643</c:v>
                </c:pt>
                <c:pt idx="4">
                  <c:v>0.124606461</c:v>
                </c:pt>
                <c:pt idx="5">
                  <c:v>0.10421169700000001</c:v>
                </c:pt>
                <c:pt idx="6">
                  <c:v>9.6632271000000006E-2</c:v>
                </c:pt>
                <c:pt idx="7">
                  <c:v>9.6736048000000005E-2</c:v>
                </c:pt>
                <c:pt idx="8">
                  <c:v>8.3372399999999999E-2</c:v>
                </c:pt>
                <c:pt idx="9">
                  <c:v>8.2268566000000001E-2</c:v>
                </c:pt>
                <c:pt idx="10">
                  <c:v>8.3951696000000006E-2</c:v>
                </c:pt>
                <c:pt idx="11">
                  <c:v>8.8765075999999998E-2</c:v>
                </c:pt>
                <c:pt idx="12">
                  <c:v>8.8701158000000002E-2</c:v>
                </c:pt>
                <c:pt idx="13">
                  <c:v>0.108524897</c:v>
                </c:pt>
                <c:pt idx="14">
                  <c:v>0.102688188</c:v>
                </c:pt>
                <c:pt idx="15">
                  <c:v>0.117323212</c:v>
                </c:pt>
                <c:pt idx="16">
                  <c:v>0.12884901300000001</c:v>
                </c:pt>
                <c:pt idx="17">
                  <c:v>0.17299767199999999</c:v>
                </c:pt>
                <c:pt idx="18">
                  <c:v>0.16496813900000001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836-4B80-BB8A-C4219DD100CD}"/>
            </c:ext>
          </c:extLst>
        </c:ser>
        <c:ser>
          <c:idx val="1"/>
          <c:order val="1"/>
          <c:tx>
            <c:strRef>
              <c:f>结果对比!$C$29</c:f>
              <c:strCache>
                <c:ptCount val="1"/>
                <c:pt idx="0">
                  <c:v>Y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结果对比!$C$30:$C$48</c:f>
              <c:numCache>
                <c:formatCode>General</c:formatCode>
                <c:ptCount val="19"/>
                <c:pt idx="0">
                  <c:v>9.5521892999999997E-2</c:v>
                </c:pt>
                <c:pt idx="1">
                  <c:v>9.7854450999999995E-2</c:v>
                </c:pt>
                <c:pt idx="2">
                  <c:v>9.8119680000000001E-2</c:v>
                </c:pt>
                <c:pt idx="3">
                  <c:v>9.0768804999999994E-2</c:v>
                </c:pt>
                <c:pt idx="4">
                  <c:v>9.2318127999999999E-2</c:v>
                </c:pt>
                <c:pt idx="5">
                  <c:v>7.1819293000000006E-2</c:v>
                </c:pt>
                <c:pt idx="6">
                  <c:v>6.6401017000000007E-2</c:v>
                </c:pt>
                <c:pt idx="7">
                  <c:v>5.8162268000000003E-2</c:v>
                </c:pt>
                <c:pt idx="8">
                  <c:v>5.6316040999999997E-2</c:v>
                </c:pt>
                <c:pt idx="9">
                  <c:v>4.9343469000000001E-2</c:v>
                </c:pt>
                <c:pt idx="10">
                  <c:v>5.5538905999999999E-2</c:v>
                </c:pt>
                <c:pt idx="11">
                  <c:v>4.7363952000000001E-2</c:v>
                </c:pt>
                <c:pt idx="12">
                  <c:v>5.1556794000000003E-2</c:v>
                </c:pt>
                <c:pt idx="13">
                  <c:v>5.3694586000000002E-2</c:v>
                </c:pt>
                <c:pt idx="14">
                  <c:v>5.3583073000000002E-2</c:v>
                </c:pt>
                <c:pt idx="15">
                  <c:v>5.9746398999999999E-2</c:v>
                </c:pt>
                <c:pt idx="16">
                  <c:v>6.9169681999999996E-2</c:v>
                </c:pt>
                <c:pt idx="17">
                  <c:v>7.9331409000000006E-2</c:v>
                </c:pt>
                <c:pt idx="18">
                  <c:v>8.6099365999999997E-2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836-4B80-BB8A-C4219DD100CD}"/>
            </c:ext>
          </c:extLst>
        </c:ser>
        <c:ser>
          <c:idx val="2"/>
          <c:order val="2"/>
          <c:tx>
            <c:strRef>
              <c:f>结果对比!$D$29</c:f>
              <c:strCache>
                <c:ptCount val="1"/>
                <c:pt idx="0">
                  <c:v>A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val>
            <c:numRef>
              <c:f>结果对比!$D$30:$D$48</c:f>
              <c:numCache>
                <c:formatCode>General</c:formatCode>
                <c:ptCount val="19"/>
                <c:pt idx="0">
                  <c:v>0.13761963699999999</c:v>
                </c:pt>
                <c:pt idx="1">
                  <c:v>0.12609626900000001</c:v>
                </c:pt>
                <c:pt idx="2">
                  <c:v>0.13483157900000001</c:v>
                </c:pt>
                <c:pt idx="3">
                  <c:v>0.125383893</c:v>
                </c:pt>
                <c:pt idx="4">
                  <c:v>0.12927704000000001</c:v>
                </c:pt>
                <c:pt idx="5">
                  <c:v>0.107871893</c:v>
                </c:pt>
                <c:pt idx="6">
                  <c:v>9.9507069000000004E-2</c:v>
                </c:pt>
                <c:pt idx="7">
                  <c:v>9.8793607000000006E-2</c:v>
                </c:pt>
                <c:pt idx="8">
                  <c:v>8.6108604000000005E-2</c:v>
                </c:pt>
                <c:pt idx="9">
                  <c:v>8.4053220999999997E-2</c:v>
                </c:pt>
                <c:pt idx="10">
                  <c:v>8.6621157000000004E-2</c:v>
                </c:pt>
                <c:pt idx="11">
                  <c:v>9.0717792000000005E-2</c:v>
                </c:pt>
                <c:pt idx="12">
                  <c:v>9.1220534000000006E-2</c:v>
                </c:pt>
                <c:pt idx="13">
                  <c:v>0.111301978</c:v>
                </c:pt>
                <c:pt idx="14">
                  <c:v>0.107157216</c:v>
                </c:pt>
                <c:pt idx="15">
                  <c:v>0.122005851</c:v>
                </c:pt>
                <c:pt idx="16">
                  <c:v>0.135388114</c:v>
                </c:pt>
                <c:pt idx="17">
                  <c:v>0.182908398</c:v>
                </c:pt>
                <c:pt idx="18">
                  <c:v>0.175746287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836-4B80-BB8A-C4219DD100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39893272"/>
        <c:axId val="739897592"/>
      </c:lineChart>
      <c:catAx>
        <c:axId val="7398932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39897592"/>
        <c:crosses val="autoZero"/>
        <c:auto val="1"/>
        <c:lblAlgn val="ctr"/>
        <c:lblOffset val="100"/>
        <c:noMultiLvlLbl val="0"/>
      </c:catAx>
      <c:valAx>
        <c:axId val="739897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3989327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SAP2000</a:t>
            </a:r>
            <a:endParaRPr lang="zh-CN" alt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结果对比!$E$29</c:f>
              <c:strCache>
                <c:ptCount val="1"/>
                <c:pt idx="0">
                  <c:v>X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结果对比!$E$30:$E$48</c:f>
              <c:numCache>
                <c:formatCode>General</c:formatCode>
                <c:ptCount val="19"/>
                <c:pt idx="0">
                  <c:v>6.9879999999999998E-2</c:v>
                </c:pt>
                <c:pt idx="1">
                  <c:v>6.9889999999999994E-2</c:v>
                </c:pt>
                <c:pt idx="2">
                  <c:v>7.1169999999999997E-2</c:v>
                </c:pt>
                <c:pt idx="3">
                  <c:v>6.7080000000000001E-2</c:v>
                </c:pt>
                <c:pt idx="4">
                  <c:v>6.2869999999999995E-2</c:v>
                </c:pt>
                <c:pt idx="5">
                  <c:v>5.7540000000000001E-2</c:v>
                </c:pt>
                <c:pt idx="6">
                  <c:v>5.2139999999999999E-2</c:v>
                </c:pt>
                <c:pt idx="7">
                  <c:v>3.9409999999999987E-2</c:v>
                </c:pt>
                <c:pt idx="8">
                  <c:v>3.8490000000000003E-2</c:v>
                </c:pt>
                <c:pt idx="9">
                  <c:v>3.678E-2</c:v>
                </c:pt>
                <c:pt idx="10">
                  <c:v>3.1719999999999998E-2</c:v>
                </c:pt>
                <c:pt idx="11">
                  <c:v>3.1949999999999999E-2</c:v>
                </c:pt>
                <c:pt idx="12">
                  <c:v>3.3619999999999997E-2</c:v>
                </c:pt>
                <c:pt idx="13">
                  <c:v>3.0939999999999999E-2</c:v>
                </c:pt>
                <c:pt idx="14">
                  <c:v>3.2000000000000001E-2</c:v>
                </c:pt>
                <c:pt idx="15">
                  <c:v>3.4660000000000003E-2</c:v>
                </c:pt>
                <c:pt idx="16">
                  <c:v>3.9399999999999998E-2</c:v>
                </c:pt>
                <c:pt idx="17">
                  <c:v>4.2610000000000002E-2</c:v>
                </c:pt>
                <c:pt idx="18">
                  <c:v>4.4650000000000002E-2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86-4991-919F-19A7B8B888F8}"/>
            </c:ext>
          </c:extLst>
        </c:ser>
        <c:ser>
          <c:idx val="1"/>
          <c:order val="1"/>
          <c:tx>
            <c:strRef>
              <c:f>结果对比!$F$29</c:f>
              <c:strCache>
                <c:ptCount val="1"/>
                <c:pt idx="0">
                  <c:v>Y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结果对比!$F$30:$F$48</c:f>
              <c:numCache>
                <c:formatCode>General</c:formatCode>
                <c:ptCount val="19"/>
                <c:pt idx="0">
                  <c:v>8.7139999999999995E-2</c:v>
                </c:pt>
                <c:pt idx="1">
                  <c:v>7.3819999999999997E-2</c:v>
                </c:pt>
                <c:pt idx="2">
                  <c:v>9.0029999999999999E-2</c:v>
                </c:pt>
                <c:pt idx="3">
                  <c:v>7.3319999999999996E-2</c:v>
                </c:pt>
                <c:pt idx="4">
                  <c:v>7.887000000000001E-2</c:v>
                </c:pt>
                <c:pt idx="5">
                  <c:v>6.4899999999999999E-2</c:v>
                </c:pt>
                <c:pt idx="6">
                  <c:v>6.2270000000000013E-2</c:v>
                </c:pt>
                <c:pt idx="7">
                  <c:v>5.6509999999999998E-2</c:v>
                </c:pt>
                <c:pt idx="8">
                  <c:v>5.2470000000000003E-2</c:v>
                </c:pt>
                <c:pt idx="9">
                  <c:v>5.3999999999999999E-2</c:v>
                </c:pt>
                <c:pt idx="10">
                  <c:v>6.1100000000000002E-2</c:v>
                </c:pt>
                <c:pt idx="11">
                  <c:v>6.404E-2</c:v>
                </c:pt>
                <c:pt idx="12">
                  <c:v>7.0550000000000002E-2</c:v>
                </c:pt>
                <c:pt idx="13">
                  <c:v>7.0150000000000004E-2</c:v>
                </c:pt>
                <c:pt idx="14">
                  <c:v>6.5799999999999997E-2</c:v>
                </c:pt>
                <c:pt idx="15">
                  <c:v>8.1140000000000004E-2</c:v>
                </c:pt>
                <c:pt idx="16">
                  <c:v>8.5720000000000005E-2</c:v>
                </c:pt>
                <c:pt idx="17">
                  <c:v>8.7459999999999996E-2</c:v>
                </c:pt>
                <c:pt idx="18">
                  <c:v>9.126999999999999E-2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86-4991-919F-19A7B8B888F8}"/>
            </c:ext>
          </c:extLst>
        </c:ser>
        <c:ser>
          <c:idx val="2"/>
          <c:order val="2"/>
          <c:tx>
            <c:strRef>
              <c:f>结果对比!$G$29</c:f>
              <c:strCache>
                <c:ptCount val="1"/>
                <c:pt idx="0">
                  <c:v>A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val>
            <c:numRef>
              <c:f>结果对比!$G$30:$G$48</c:f>
              <c:numCache>
                <c:formatCode>General</c:formatCode>
                <c:ptCount val="19"/>
                <c:pt idx="0">
                  <c:v>9.1069999999999998E-2</c:v>
                </c:pt>
                <c:pt idx="1">
                  <c:v>8.131999999999999E-2</c:v>
                </c:pt>
                <c:pt idx="2">
                  <c:v>9.3310000000000004E-2</c:v>
                </c:pt>
                <c:pt idx="3">
                  <c:v>7.9489999999999991E-2</c:v>
                </c:pt>
                <c:pt idx="4">
                  <c:v>8.1220000000000001E-2</c:v>
                </c:pt>
                <c:pt idx="5">
                  <c:v>6.9379999999999997E-2</c:v>
                </c:pt>
                <c:pt idx="6">
                  <c:v>6.5769999999999995E-2</c:v>
                </c:pt>
                <c:pt idx="7">
                  <c:v>5.808E-2</c:v>
                </c:pt>
                <c:pt idx="8">
                  <c:v>5.3900000000000003E-2</c:v>
                </c:pt>
                <c:pt idx="9">
                  <c:v>5.5100000000000003E-2</c:v>
                </c:pt>
                <c:pt idx="10">
                  <c:v>6.164E-2</c:v>
                </c:pt>
                <c:pt idx="11">
                  <c:v>6.4899999999999999E-2</c:v>
                </c:pt>
                <c:pt idx="12">
                  <c:v>7.1510000000000004E-2</c:v>
                </c:pt>
                <c:pt idx="13">
                  <c:v>7.0870000000000002E-2</c:v>
                </c:pt>
                <c:pt idx="14">
                  <c:v>6.6670000000000007E-2</c:v>
                </c:pt>
                <c:pt idx="15">
                  <c:v>8.201E-2</c:v>
                </c:pt>
                <c:pt idx="16">
                  <c:v>8.6609999999999993E-2</c:v>
                </c:pt>
                <c:pt idx="17">
                  <c:v>8.8439999999999991E-2</c:v>
                </c:pt>
                <c:pt idx="18">
                  <c:v>9.2499999999999999E-2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586-4991-919F-19A7B8B888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39879592"/>
        <c:axId val="739880672"/>
      </c:lineChart>
      <c:catAx>
        <c:axId val="73987959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39880672"/>
        <c:crosses val="autoZero"/>
        <c:auto val="1"/>
        <c:lblAlgn val="ctr"/>
        <c:lblOffset val="100"/>
        <c:noMultiLvlLbl val="0"/>
      </c:catAx>
      <c:valAx>
        <c:axId val="739880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398795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MATLAB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结果对比!$B$57</c:f>
              <c:strCache>
                <c:ptCount val="1"/>
                <c:pt idx="0">
                  <c:v>X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结果对比!$B$58:$B$76</c:f>
              <c:numCache>
                <c:formatCode>General</c:formatCode>
                <c:ptCount val="19"/>
                <c:pt idx="0">
                  <c:v>0.131909159254782</c:v>
                </c:pt>
                <c:pt idx="1">
                  <c:v>0.12898370366826101</c:v>
                </c:pt>
                <c:pt idx="2">
                  <c:v>0.118551883928231</c:v>
                </c:pt>
                <c:pt idx="3">
                  <c:v>0.12546483785543</c:v>
                </c:pt>
                <c:pt idx="4">
                  <c:v>0.109851110046099</c:v>
                </c:pt>
                <c:pt idx="5">
                  <c:v>0.103682403408451</c:v>
                </c:pt>
                <c:pt idx="6">
                  <c:v>9.5155221765517495E-2</c:v>
                </c:pt>
                <c:pt idx="7">
                  <c:v>9.6461739738963298E-2</c:v>
                </c:pt>
                <c:pt idx="8">
                  <c:v>8.6638852201837396E-2</c:v>
                </c:pt>
                <c:pt idx="9">
                  <c:v>8.3705154307353202E-2</c:v>
                </c:pt>
                <c:pt idx="10">
                  <c:v>7.7279307898750899E-2</c:v>
                </c:pt>
                <c:pt idx="11">
                  <c:v>8.5003022373929496E-2</c:v>
                </c:pt>
                <c:pt idx="12">
                  <c:v>8.4245058862609107E-2</c:v>
                </c:pt>
                <c:pt idx="13">
                  <c:v>8.8504795253157895E-2</c:v>
                </c:pt>
                <c:pt idx="14">
                  <c:v>8.61500564074833E-2</c:v>
                </c:pt>
                <c:pt idx="15">
                  <c:v>9.81709786644379E-2</c:v>
                </c:pt>
                <c:pt idx="16">
                  <c:v>0.118880303918294</c:v>
                </c:pt>
                <c:pt idx="17">
                  <c:v>0.110334335989004</c:v>
                </c:pt>
                <c:pt idx="18">
                  <c:v>0.12877187494522599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FEB-45E7-8688-B8271091D2B7}"/>
            </c:ext>
          </c:extLst>
        </c:ser>
        <c:ser>
          <c:idx val="1"/>
          <c:order val="1"/>
          <c:tx>
            <c:strRef>
              <c:f>结果对比!$C$57</c:f>
              <c:strCache>
                <c:ptCount val="1"/>
                <c:pt idx="0">
                  <c:v>Y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结果对比!$C$58:$C$76</c:f>
              <c:numCache>
                <c:formatCode>General</c:formatCode>
                <c:ptCount val="19"/>
                <c:pt idx="0">
                  <c:v>5.8929978706446999E-2</c:v>
                </c:pt>
                <c:pt idx="1">
                  <c:v>5.1537770390811401E-2</c:v>
                </c:pt>
                <c:pt idx="2">
                  <c:v>5.8047353042828001E-2</c:v>
                </c:pt>
                <c:pt idx="3">
                  <c:v>5.7835183041979599E-2</c:v>
                </c:pt>
                <c:pt idx="4">
                  <c:v>5.5763385548076499E-2</c:v>
                </c:pt>
                <c:pt idx="5">
                  <c:v>5.3359426887002501E-2</c:v>
                </c:pt>
                <c:pt idx="6">
                  <c:v>4.4559973968942103E-2</c:v>
                </c:pt>
                <c:pt idx="7">
                  <c:v>4.1297125367470301E-2</c:v>
                </c:pt>
                <c:pt idx="8">
                  <c:v>4.1365270696212902E-2</c:v>
                </c:pt>
                <c:pt idx="9">
                  <c:v>3.8890644140651999E-2</c:v>
                </c:pt>
                <c:pt idx="10">
                  <c:v>3.7674369178060801E-2</c:v>
                </c:pt>
                <c:pt idx="11">
                  <c:v>3.7717864736939499E-2</c:v>
                </c:pt>
                <c:pt idx="12">
                  <c:v>3.4952894680732503E-2</c:v>
                </c:pt>
                <c:pt idx="13">
                  <c:v>3.5459123608468097E-2</c:v>
                </c:pt>
                <c:pt idx="14">
                  <c:v>4.0025310074388198E-2</c:v>
                </c:pt>
                <c:pt idx="15">
                  <c:v>4.0218462935227503E-2</c:v>
                </c:pt>
                <c:pt idx="16">
                  <c:v>4.4338198993811397E-2</c:v>
                </c:pt>
                <c:pt idx="17">
                  <c:v>4.6123161941655499E-2</c:v>
                </c:pt>
                <c:pt idx="18">
                  <c:v>4.5901941428107697E-2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FEB-45E7-8688-B8271091D2B7}"/>
            </c:ext>
          </c:extLst>
        </c:ser>
        <c:ser>
          <c:idx val="2"/>
          <c:order val="2"/>
          <c:tx>
            <c:strRef>
              <c:f>结果对比!$D$57</c:f>
              <c:strCache>
                <c:ptCount val="1"/>
                <c:pt idx="0">
                  <c:v>A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val>
            <c:numRef>
              <c:f>结果对比!$D$58:$D$76</c:f>
              <c:numCache>
                <c:formatCode>General</c:formatCode>
                <c:ptCount val="19"/>
                <c:pt idx="0">
                  <c:v>0.13358617856798699</c:v>
                </c:pt>
                <c:pt idx="1">
                  <c:v>0.12966659916158399</c:v>
                </c:pt>
                <c:pt idx="2">
                  <c:v>0.119775740231519</c:v>
                </c:pt>
                <c:pt idx="3">
                  <c:v>0.12658099419575999</c:v>
                </c:pt>
                <c:pt idx="4">
                  <c:v>0.11101559533019099</c:v>
                </c:pt>
                <c:pt idx="5">
                  <c:v>0.10498600694860399</c:v>
                </c:pt>
                <c:pt idx="6">
                  <c:v>9.6144885824918702E-2</c:v>
                </c:pt>
                <c:pt idx="7">
                  <c:v>9.7416716702063103E-2</c:v>
                </c:pt>
                <c:pt idx="8">
                  <c:v>8.7891175624806597E-2</c:v>
                </c:pt>
                <c:pt idx="9">
                  <c:v>8.5070690443153699E-2</c:v>
                </c:pt>
                <c:pt idx="10">
                  <c:v>7.87923861843388E-2</c:v>
                </c:pt>
                <c:pt idx="11">
                  <c:v>8.65759036183254E-2</c:v>
                </c:pt>
                <c:pt idx="12">
                  <c:v>8.5811466447113696E-2</c:v>
                </c:pt>
                <c:pt idx="13">
                  <c:v>8.9834381647751704E-2</c:v>
                </c:pt>
                <c:pt idx="14">
                  <c:v>8.7846676258970594E-2</c:v>
                </c:pt>
                <c:pt idx="15">
                  <c:v>0.100015712124532</c:v>
                </c:pt>
                <c:pt idx="16">
                  <c:v>0.120565536929489</c:v>
                </c:pt>
                <c:pt idx="17">
                  <c:v>0.112551701534839</c:v>
                </c:pt>
                <c:pt idx="18">
                  <c:v>0.13088670980851999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FEB-45E7-8688-B8271091D2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5485176"/>
        <c:axId val="695489856"/>
      </c:lineChart>
      <c:catAx>
        <c:axId val="6954851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5489856"/>
        <c:crosses val="autoZero"/>
        <c:auto val="1"/>
        <c:lblAlgn val="ctr"/>
        <c:lblOffset val="100"/>
        <c:noMultiLvlLbl val="0"/>
      </c:catAx>
      <c:valAx>
        <c:axId val="695489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5485176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SAP2000</a:t>
            </a:r>
            <a:endParaRPr lang="zh-CN" alt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结果对比!$E$57</c:f>
              <c:strCache>
                <c:ptCount val="1"/>
                <c:pt idx="0">
                  <c:v>X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结果对比!$E$58:$E$76</c:f>
              <c:numCache>
                <c:formatCode>General</c:formatCode>
                <c:ptCount val="19"/>
                <c:pt idx="0">
                  <c:v>4.8039999999999999E-2</c:v>
                </c:pt>
                <c:pt idx="1">
                  <c:v>4.6510000000000003E-2</c:v>
                </c:pt>
                <c:pt idx="2">
                  <c:v>4.6549999999999987E-2</c:v>
                </c:pt>
                <c:pt idx="3">
                  <c:v>4.5539999999999997E-2</c:v>
                </c:pt>
                <c:pt idx="4">
                  <c:v>4.4420000000000001E-2</c:v>
                </c:pt>
                <c:pt idx="5">
                  <c:v>4.1149999999999999E-2</c:v>
                </c:pt>
                <c:pt idx="6">
                  <c:v>3.7350000000000001E-2</c:v>
                </c:pt>
                <c:pt idx="7">
                  <c:v>3.3320000000000002E-2</c:v>
                </c:pt>
                <c:pt idx="8">
                  <c:v>3.0329999999999999E-2</c:v>
                </c:pt>
                <c:pt idx="9">
                  <c:v>2.8639999999999999E-2</c:v>
                </c:pt>
                <c:pt idx="10">
                  <c:v>2.4250000000000001E-2</c:v>
                </c:pt>
                <c:pt idx="11">
                  <c:v>2.359E-2</c:v>
                </c:pt>
                <c:pt idx="12">
                  <c:v>2.3800000000000002E-2</c:v>
                </c:pt>
                <c:pt idx="13">
                  <c:v>2.4709999999999999E-2</c:v>
                </c:pt>
                <c:pt idx="14">
                  <c:v>2.1440000000000001E-2</c:v>
                </c:pt>
                <c:pt idx="15">
                  <c:v>2.8510000000000001E-2</c:v>
                </c:pt>
                <c:pt idx="16">
                  <c:v>2.7699999999999999E-2</c:v>
                </c:pt>
                <c:pt idx="17">
                  <c:v>2.802E-2</c:v>
                </c:pt>
                <c:pt idx="18">
                  <c:v>2.9929999999999998E-2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763-4E5E-BB9C-A8B4E92C6C08}"/>
            </c:ext>
          </c:extLst>
        </c:ser>
        <c:ser>
          <c:idx val="1"/>
          <c:order val="1"/>
          <c:tx>
            <c:strRef>
              <c:f>结果对比!$F$57</c:f>
              <c:strCache>
                <c:ptCount val="1"/>
                <c:pt idx="0">
                  <c:v>Y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结果对比!$F$58:$F$76</c:f>
              <c:numCache>
                <c:formatCode>General</c:formatCode>
                <c:ptCount val="19"/>
                <c:pt idx="0">
                  <c:v>8.0260000000000012E-2</c:v>
                </c:pt>
                <c:pt idx="1">
                  <c:v>7.9150000000000012E-2</c:v>
                </c:pt>
                <c:pt idx="2">
                  <c:v>7.3849999999999999E-2</c:v>
                </c:pt>
                <c:pt idx="3">
                  <c:v>7.7959999999999988E-2</c:v>
                </c:pt>
                <c:pt idx="4">
                  <c:v>7.6219999999999996E-2</c:v>
                </c:pt>
                <c:pt idx="5">
                  <c:v>6.4019999999999994E-2</c:v>
                </c:pt>
                <c:pt idx="6">
                  <c:v>6.0339999999999998E-2</c:v>
                </c:pt>
                <c:pt idx="7">
                  <c:v>4.931E-2</c:v>
                </c:pt>
                <c:pt idx="8">
                  <c:v>5.5010000000000003E-2</c:v>
                </c:pt>
                <c:pt idx="9">
                  <c:v>4.6330000000000003E-2</c:v>
                </c:pt>
                <c:pt idx="10">
                  <c:v>4.7899999999999998E-2</c:v>
                </c:pt>
                <c:pt idx="11">
                  <c:v>4.8500000000000001E-2</c:v>
                </c:pt>
                <c:pt idx="12">
                  <c:v>5.4479999999999987E-2</c:v>
                </c:pt>
                <c:pt idx="13">
                  <c:v>5.203E-2</c:v>
                </c:pt>
                <c:pt idx="14">
                  <c:v>5.2499999999999998E-2</c:v>
                </c:pt>
                <c:pt idx="15">
                  <c:v>6.1899999999999997E-2</c:v>
                </c:pt>
                <c:pt idx="16">
                  <c:v>8.020999999999999E-2</c:v>
                </c:pt>
                <c:pt idx="17">
                  <c:v>7.5379999999999989E-2</c:v>
                </c:pt>
                <c:pt idx="18">
                  <c:v>9.1569999999999999E-2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763-4E5E-BB9C-A8B4E92C6C08}"/>
            </c:ext>
          </c:extLst>
        </c:ser>
        <c:ser>
          <c:idx val="2"/>
          <c:order val="2"/>
          <c:tx>
            <c:strRef>
              <c:f>结果对比!$G$57</c:f>
              <c:strCache>
                <c:ptCount val="1"/>
                <c:pt idx="0">
                  <c:v>A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val>
            <c:numRef>
              <c:f>结果对比!$G$58:$G$76</c:f>
              <c:numCache>
                <c:formatCode>General</c:formatCode>
                <c:ptCount val="19"/>
                <c:pt idx="0">
                  <c:v>8.0590000000000009E-2</c:v>
                </c:pt>
                <c:pt idx="1">
                  <c:v>7.9439999999999997E-2</c:v>
                </c:pt>
                <c:pt idx="2">
                  <c:v>7.443000000000001E-2</c:v>
                </c:pt>
                <c:pt idx="3">
                  <c:v>7.8400000000000011E-2</c:v>
                </c:pt>
                <c:pt idx="4">
                  <c:v>7.664E-2</c:v>
                </c:pt>
                <c:pt idx="5">
                  <c:v>6.4299999999999996E-2</c:v>
                </c:pt>
                <c:pt idx="6">
                  <c:v>6.062E-2</c:v>
                </c:pt>
                <c:pt idx="7">
                  <c:v>4.9529999999999998E-2</c:v>
                </c:pt>
                <c:pt idx="8">
                  <c:v>5.525E-2</c:v>
                </c:pt>
                <c:pt idx="9">
                  <c:v>4.675E-2</c:v>
                </c:pt>
                <c:pt idx="10">
                  <c:v>4.8149999999999998E-2</c:v>
                </c:pt>
                <c:pt idx="11">
                  <c:v>4.8800000000000003E-2</c:v>
                </c:pt>
                <c:pt idx="12">
                  <c:v>5.4739999999999997E-2</c:v>
                </c:pt>
                <c:pt idx="13">
                  <c:v>5.2260000000000001E-2</c:v>
                </c:pt>
                <c:pt idx="14">
                  <c:v>5.2760000000000001E-2</c:v>
                </c:pt>
                <c:pt idx="15">
                  <c:v>6.2170000000000003E-2</c:v>
                </c:pt>
                <c:pt idx="16">
                  <c:v>8.0599999999999991E-2</c:v>
                </c:pt>
                <c:pt idx="17">
                  <c:v>7.578E-2</c:v>
                </c:pt>
                <c:pt idx="18">
                  <c:v>9.1980000000000006E-2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763-4E5E-BB9C-A8B4E92C6C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39897952"/>
        <c:axId val="739891832"/>
      </c:lineChart>
      <c:catAx>
        <c:axId val="73989795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39891832"/>
        <c:crosses val="autoZero"/>
        <c:auto val="1"/>
        <c:lblAlgn val="ctr"/>
        <c:lblOffset val="100"/>
        <c:noMultiLvlLbl val="0"/>
      </c:catAx>
      <c:valAx>
        <c:axId val="739891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3989795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n-US"/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1"/>
          <c:order val="0"/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'1-1_Acceleration'!$D$30:$D$39</c:f>
              <c:numCache>
                <c:formatCode>General</c:formatCode>
                <c:ptCount val="10"/>
                <c:pt idx="0">
                  <c:v>-5.2029054160745297E-2</c:v>
                </c:pt>
                <c:pt idx="1">
                  <c:v>-5.1019707477854968E-2</c:v>
                </c:pt>
                <c:pt idx="2">
                  <c:v>-5.0372152469739001E-2</c:v>
                </c:pt>
                <c:pt idx="3">
                  <c:v>-5.0566988660226776E-2</c:v>
                </c:pt>
                <c:pt idx="4">
                  <c:v>-5.134107285828645E-2</c:v>
                </c:pt>
                <c:pt idx="5">
                  <c:v>-5.4386178367197981E-2</c:v>
                </c:pt>
                <c:pt idx="6">
                  <c:v>-5.2983351561550478E-2</c:v>
                </c:pt>
                <c:pt idx="7">
                  <c:v>-5.6225443706814808E-2</c:v>
                </c:pt>
                <c:pt idx="8">
                  <c:v>-9.6271482668220387E-2</c:v>
                </c:pt>
                <c:pt idx="9">
                  <c:v>-8.1145230677940897E-2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30A-4394-87C4-F9E844F0CF33}"/>
            </c:ext>
          </c:extLst>
        </c:ser>
        <c:ser>
          <c:idx val="0"/>
          <c:order val="1"/>
          <c:marker>
            <c:symbol val="none"/>
          </c:marker>
          <c:val>
            <c:numRef>
              <c:f>'2-1_Acceleration'!$D$46:$D$64</c:f>
              <c:numCache>
                <c:formatCode>General</c:formatCode>
                <c:ptCount val="19"/>
                <c:pt idx="0">
                  <c:v>-0.11716262215877896</c:v>
                </c:pt>
                <c:pt idx="1">
                  <c:v>-0.16293654697491392</c:v>
                </c:pt>
                <c:pt idx="2">
                  <c:v>-0.10738398885435646</c:v>
                </c:pt>
                <c:pt idx="3">
                  <c:v>-0.14806893948924379</c:v>
                </c:pt>
                <c:pt idx="4">
                  <c:v>-0.10342280226545192</c:v>
                </c:pt>
                <c:pt idx="5">
                  <c:v>-0.13649466705102334</c:v>
                </c:pt>
                <c:pt idx="6">
                  <c:v>-0.12695757944351524</c:v>
                </c:pt>
                <c:pt idx="7">
                  <c:v>-0.10192837465564741</c:v>
                </c:pt>
                <c:pt idx="8">
                  <c:v>-0.10092764378478664</c:v>
                </c:pt>
                <c:pt idx="9">
                  <c:v>-9.4555353901996472E-2</c:v>
                </c:pt>
                <c:pt idx="10">
                  <c:v>-8.2576249188838366E-2</c:v>
                </c:pt>
                <c:pt idx="11">
                  <c:v>-8.8289676425269636E-2</c:v>
                </c:pt>
                <c:pt idx="12">
                  <c:v>-8.7959725912459846E-2</c:v>
                </c:pt>
                <c:pt idx="13">
                  <c:v>-8.4379850430365444E-2</c:v>
                </c:pt>
                <c:pt idx="14">
                  <c:v>-8.7145642717864236E-2</c:v>
                </c:pt>
                <c:pt idx="15">
                  <c:v>-8.4258017314961589E-2</c:v>
                </c:pt>
                <c:pt idx="16">
                  <c:v>-8.2900357926336363E-2</c:v>
                </c:pt>
                <c:pt idx="17">
                  <c:v>-8.4011759384893636E-2</c:v>
                </c:pt>
                <c:pt idx="18">
                  <c:v>-8.5297297297297237E-2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30A-4394-87C4-F9E844F0CF33}"/>
            </c:ext>
          </c:extLst>
        </c:ser>
        <c:ser>
          <c:idx val="2"/>
          <c:order val="2"/>
          <c:marker>
            <c:symbol val="none"/>
          </c:marker>
          <c:val>
            <c:numRef>
              <c:f>'3-1_Acceleration'!$D$46:$D$64</c:f>
              <c:numCache>
                <c:formatCode>General</c:formatCode>
                <c:ptCount val="19"/>
                <c:pt idx="0">
                  <c:v>-0.23042561111800464</c:v>
                </c:pt>
                <c:pt idx="1">
                  <c:v>-0.21601208459214497</c:v>
                </c:pt>
                <c:pt idx="2">
                  <c:v>-0.21966948810963333</c:v>
                </c:pt>
                <c:pt idx="3">
                  <c:v>-0.2144132653061224</c:v>
                </c:pt>
                <c:pt idx="4">
                  <c:v>-0.21855427974947808</c:v>
                </c:pt>
                <c:pt idx="5">
                  <c:v>-0.23608087091757388</c:v>
                </c:pt>
                <c:pt idx="6">
                  <c:v>-0.22302870339821837</c:v>
                </c:pt>
                <c:pt idx="7">
                  <c:v>-0.21865536038764358</c:v>
                </c:pt>
                <c:pt idx="8">
                  <c:v>-0.21900452488687783</c:v>
                </c:pt>
                <c:pt idx="9">
                  <c:v>-0.22181818181818175</c:v>
                </c:pt>
                <c:pt idx="10">
                  <c:v>-0.22139148494288674</c:v>
                </c:pt>
                <c:pt idx="11">
                  <c:v>-0.21905737704918041</c:v>
                </c:pt>
                <c:pt idx="12">
                  <c:v>-0.21410303251735469</c:v>
                </c:pt>
                <c:pt idx="13">
                  <c:v>-0.22158438576349024</c:v>
                </c:pt>
                <c:pt idx="14">
                  <c:v>-0.21474601971190294</c:v>
                </c:pt>
                <c:pt idx="15">
                  <c:v>-0.22728003860382825</c:v>
                </c:pt>
                <c:pt idx="16">
                  <c:v>-0.22766749379652598</c:v>
                </c:pt>
                <c:pt idx="17">
                  <c:v>-0.23752969121140144</c:v>
                </c:pt>
                <c:pt idx="18">
                  <c:v>-0.22189606436181789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30A-4394-87C4-F9E844F0CF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1916720"/>
        <c:axId val="423504784"/>
      </c:lineChart>
      <c:catAx>
        <c:axId val="1019167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3504784"/>
        <c:crosses val="autoZero"/>
        <c:auto val="1"/>
        <c:lblAlgn val="ctr"/>
        <c:lblOffset val="100"/>
        <c:noMultiLvlLbl val="0"/>
      </c:catAx>
      <c:valAx>
        <c:axId val="423504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191672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10.png"/><Relationship Id="rId13" Type="http://schemas.openxmlformats.org/officeDocument/2006/relationships/image" Target="../media/image14.png"/><Relationship Id="rId3" Type="http://schemas.openxmlformats.org/officeDocument/2006/relationships/chart" Target="../charts/chart13.xml"/><Relationship Id="rId7" Type="http://schemas.openxmlformats.org/officeDocument/2006/relationships/image" Target="../media/image9.png"/><Relationship Id="rId12" Type="http://schemas.openxmlformats.org/officeDocument/2006/relationships/image" Target="../media/image13.png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chart" Target="../charts/chart16.xml"/><Relationship Id="rId11" Type="http://schemas.openxmlformats.org/officeDocument/2006/relationships/image" Target="../media/image12.png"/><Relationship Id="rId5" Type="http://schemas.openxmlformats.org/officeDocument/2006/relationships/chart" Target="../charts/chart15.xml"/><Relationship Id="rId15" Type="http://schemas.openxmlformats.org/officeDocument/2006/relationships/image" Target="../media/image16.png"/><Relationship Id="rId10" Type="http://schemas.openxmlformats.org/officeDocument/2006/relationships/image" Target="../media/image11.png"/><Relationship Id="rId4" Type="http://schemas.openxmlformats.org/officeDocument/2006/relationships/chart" Target="../charts/chart14.xml"/><Relationship Id="rId9" Type="http://schemas.openxmlformats.org/officeDocument/2006/relationships/chart" Target="../charts/chart17.xml"/><Relationship Id="rId14" Type="http://schemas.openxmlformats.org/officeDocument/2006/relationships/image" Target="../media/image1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160972</xdr:colOff>
      <xdr:row>12</xdr:row>
      <xdr:rowOff>49530</xdr:rowOff>
    </xdr:from>
    <xdr:to>
      <xdr:col>12</xdr:col>
      <xdr:colOff>465772</xdr:colOff>
      <xdr:row>27</xdr:row>
      <xdr:rowOff>81915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142875</xdr:colOff>
      <xdr:row>29</xdr:row>
      <xdr:rowOff>66675</xdr:rowOff>
    </xdr:from>
    <xdr:to>
      <xdr:col>12</xdr:col>
      <xdr:colOff>447675</xdr:colOff>
      <xdr:row>44</xdr:row>
      <xdr:rowOff>66675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275272</xdr:colOff>
      <xdr:row>0</xdr:row>
      <xdr:rowOff>123825</xdr:rowOff>
    </xdr:from>
    <xdr:to>
      <xdr:col>25</xdr:col>
      <xdr:colOff>580072</xdr:colOff>
      <xdr:row>15</xdr:row>
      <xdr:rowOff>150495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4885DC0A-D501-5BA7-F335-D500A55C24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142875</xdr:colOff>
      <xdr:row>29</xdr:row>
      <xdr:rowOff>66675</xdr:rowOff>
    </xdr:from>
    <xdr:to>
      <xdr:col>25</xdr:col>
      <xdr:colOff>447675</xdr:colOff>
      <xdr:row>44</xdr:row>
      <xdr:rowOff>66675</xdr:rowOff>
    </xdr:to>
    <xdr:graphicFrame macro="">
      <xdr:nvGraphicFramePr>
        <xdr:cNvPr id="5" name="Chart 2">
          <a:extLst>
            <a:ext uri="{FF2B5EF4-FFF2-40B4-BE49-F238E27FC236}">
              <a16:creationId xmlns:a16="http://schemas.microsoft.com/office/drawing/2014/main" id="{33D73660-E75E-442B-8020-E97A6C40C3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212407</xdr:colOff>
      <xdr:row>22</xdr:row>
      <xdr:rowOff>78105</xdr:rowOff>
    </xdr:from>
    <xdr:to>
      <xdr:col>12</xdr:col>
      <xdr:colOff>517207</xdr:colOff>
      <xdr:row>37</xdr:row>
      <xdr:rowOff>106680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76200</xdr:colOff>
      <xdr:row>44</xdr:row>
      <xdr:rowOff>175260</xdr:rowOff>
    </xdr:from>
    <xdr:to>
      <xdr:col>12</xdr:col>
      <xdr:colOff>381000</xdr:colOff>
      <xdr:row>59</xdr:row>
      <xdr:rowOff>175260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112395</xdr:colOff>
      <xdr:row>45</xdr:row>
      <xdr:rowOff>125730</xdr:rowOff>
    </xdr:from>
    <xdr:to>
      <xdr:col>25</xdr:col>
      <xdr:colOff>417195</xdr:colOff>
      <xdr:row>60</xdr:row>
      <xdr:rowOff>125730</xdr:rowOff>
    </xdr:to>
    <xdr:graphicFrame macro="">
      <xdr:nvGraphicFramePr>
        <xdr:cNvPr id="4" name="Chart 2">
          <a:extLst>
            <a:ext uri="{FF2B5EF4-FFF2-40B4-BE49-F238E27FC236}">
              <a16:creationId xmlns:a16="http://schemas.microsoft.com/office/drawing/2014/main" id="{B5F9ED26-B7F6-4696-95FC-7BA53C15D7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602932</xdr:colOff>
      <xdr:row>22</xdr:row>
      <xdr:rowOff>19050</xdr:rowOff>
    </xdr:from>
    <xdr:to>
      <xdr:col>12</xdr:col>
      <xdr:colOff>298132</xdr:colOff>
      <xdr:row>37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487680</xdr:colOff>
      <xdr:row>45</xdr:row>
      <xdr:rowOff>99060</xdr:rowOff>
    </xdr:from>
    <xdr:to>
      <xdr:col>13</xdr:col>
      <xdr:colOff>182880</xdr:colOff>
      <xdr:row>60</xdr:row>
      <xdr:rowOff>99060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112395</xdr:colOff>
      <xdr:row>45</xdr:row>
      <xdr:rowOff>125730</xdr:rowOff>
    </xdr:from>
    <xdr:to>
      <xdr:col>25</xdr:col>
      <xdr:colOff>417195</xdr:colOff>
      <xdr:row>60</xdr:row>
      <xdr:rowOff>125730</xdr:rowOff>
    </xdr:to>
    <xdr:graphicFrame macro="">
      <xdr:nvGraphicFramePr>
        <xdr:cNvPr id="4" name="Chart 2">
          <a:extLst>
            <a:ext uri="{FF2B5EF4-FFF2-40B4-BE49-F238E27FC236}">
              <a16:creationId xmlns:a16="http://schemas.microsoft.com/office/drawing/2014/main" id="{5E2BF660-9400-45A1-BB9F-879D8ADF8F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355282</xdr:colOff>
      <xdr:row>2</xdr:row>
      <xdr:rowOff>121920</xdr:rowOff>
    </xdr:from>
    <xdr:to>
      <xdr:col>26</xdr:col>
      <xdr:colOff>50482</xdr:colOff>
      <xdr:row>17</xdr:row>
      <xdr:rowOff>160020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260032</xdr:colOff>
      <xdr:row>2</xdr:row>
      <xdr:rowOff>156210</xdr:rowOff>
    </xdr:from>
    <xdr:to>
      <xdr:col>17</xdr:col>
      <xdr:colOff>564832</xdr:colOff>
      <xdr:row>17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327660</xdr:colOff>
      <xdr:row>28</xdr:row>
      <xdr:rowOff>161925</xdr:rowOff>
    </xdr:from>
    <xdr:to>
      <xdr:col>18</xdr:col>
      <xdr:colOff>22860</xdr:colOff>
      <xdr:row>44</xdr:row>
      <xdr:rowOff>7620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302895</xdr:colOff>
      <xdr:row>29</xdr:row>
      <xdr:rowOff>13335</xdr:rowOff>
    </xdr:from>
    <xdr:to>
      <xdr:col>25</xdr:col>
      <xdr:colOff>607695</xdr:colOff>
      <xdr:row>44</xdr:row>
      <xdr:rowOff>43815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547687</xdr:colOff>
      <xdr:row>56</xdr:row>
      <xdr:rowOff>139065</xdr:rowOff>
    </xdr:from>
    <xdr:to>
      <xdr:col>18</xdr:col>
      <xdr:colOff>242887</xdr:colOff>
      <xdr:row>71</xdr:row>
      <xdr:rowOff>167640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52387</xdr:colOff>
      <xdr:row>56</xdr:row>
      <xdr:rowOff>179070</xdr:rowOff>
    </xdr:from>
    <xdr:to>
      <xdr:col>26</xdr:col>
      <xdr:colOff>357187</xdr:colOff>
      <xdr:row>72</xdr:row>
      <xdr:rowOff>24765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0</xdr:colOff>
      <xdr:row>80</xdr:row>
      <xdr:rowOff>0</xdr:rowOff>
    </xdr:from>
    <xdr:to>
      <xdr:col>9</xdr:col>
      <xdr:colOff>137160</xdr:colOff>
      <xdr:row>81</xdr:row>
      <xdr:rowOff>83820</xdr:rowOff>
    </xdr:to>
    <xdr:pic>
      <xdr:nvPicPr>
        <xdr:cNvPr id="8" name="图片 7">
          <a:extLst>
            <a:ext uri="{FF2B5EF4-FFF2-40B4-BE49-F238E27FC236}">
              <a16:creationId xmlns:a16="http://schemas.microsoft.com/office/drawing/2014/main" id="{FE41E05A-A54B-22BD-20B7-85ED72E63B3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76800" y="14638020"/>
          <a:ext cx="746760" cy="2819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3</xdr:col>
      <xdr:colOff>0</xdr:colOff>
      <xdr:row>81</xdr:row>
      <xdr:rowOff>0</xdr:rowOff>
    </xdr:from>
    <xdr:to>
      <xdr:col>3</xdr:col>
      <xdr:colOff>106680</xdr:colOff>
      <xdr:row>81</xdr:row>
      <xdr:rowOff>182880</xdr:rowOff>
    </xdr:to>
    <xdr:pic>
      <xdr:nvPicPr>
        <xdr:cNvPr id="9" name="图片 8">
          <a:extLst>
            <a:ext uri="{FF2B5EF4-FFF2-40B4-BE49-F238E27FC236}">
              <a16:creationId xmlns:a16="http://schemas.microsoft.com/office/drawing/2014/main" id="{033362E2-6060-EB52-F422-686CB3FC14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28800" y="14836140"/>
          <a:ext cx="106680" cy="1828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5</xdr:col>
      <xdr:colOff>0</xdr:colOff>
      <xdr:row>81</xdr:row>
      <xdr:rowOff>0</xdr:rowOff>
    </xdr:from>
    <xdr:to>
      <xdr:col>5</xdr:col>
      <xdr:colOff>106680</xdr:colOff>
      <xdr:row>81</xdr:row>
      <xdr:rowOff>182880</xdr:rowOff>
    </xdr:to>
    <xdr:pic>
      <xdr:nvPicPr>
        <xdr:cNvPr id="10" name="图片 9">
          <a:extLst>
            <a:ext uri="{FF2B5EF4-FFF2-40B4-BE49-F238E27FC236}">
              <a16:creationId xmlns:a16="http://schemas.microsoft.com/office/drawing/2014/main" id="{5D4992DA-CE03-D05D-545C-64292635CA0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0" y="14836140"/>
          <a:ext cx="106680" cy="1828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7</xdr:col>
      <xdr:colOff>0</xdr:colOff>
      <xdr:row>81</xdr:row>
      <xdr:rowOff>0</xdr:rowOff>
    </xdr:from>
    <xdr:to>
      <xdr:col>7</xdr:col>
      <xdr:colOff>106680</xdr:colOff>
      <xdr:row>81</xdr:row>
      <xdr:rowOff>182880</xdr:rowOff>
    </xdr:to>
    <xdr:pic>
      <xdr:nvPicPr>
        <xdr:cNvPr id="11" name="图片 10">
          <a:extLst>
            <a:ext uri="{FF2B5EF4-FFF2-40B4-BE49-F238E27FC236}">
              <a16:creationId xmlns:a16="http://schemas.microsoft.com/office/drawing/2014/main" id="{5503E0B5-7A99-2C9C-475F-0A67EE2083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67200" y="14836140"/>
          <a:ext cx="106680" cy="1828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11</xdr:col>
      <xdr:colOff>535977</xdr:colOff>
      <xdr:row>79</xdr:row>
      <xdr:rowOff>177390</xdr:rowOff>
    </xdr:from>
    <xdr:to>
      <xdr:col>19</xdr:col>
      <xdr:colOff>263226</xdr:colOff>
      <xdr:row>94</xdr:row>
      <xdr:rowOff>64322</xdr:rowOff>
    </xdr:to>
    <xdr:graphicFrame macro="">
      <xdr:nvGraphicFramePr>
        <xdr:cNvPr id="12" name="Chart 2">
          <a:extLst>
            <a:ext uri="{FF2B5EF4-FFF2-40B4-BE49-F238E27FC236}">
              <a16:creationId xmlns:a16="http://schemas.microsoft.com/office/drawing/2014/main" id="{3160BE50-92F7-4B26-A791-6ABF8A7249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9</xdr:col>
      <xdr:colOff>0</xdr:colOff>
      <xdr:row>96</xdr:row>
      <xdr:rowOff>0</xdr:rowOff>
    </xdr:from>
    <xdr:to>
      <xdr:col>9</xdr:col>
      <xdr:colOff>441960</xdr:colOff>
      <xdr:row>97</xdr:row>
      <xdr:rowOff>53340</xdr:rowOff>
    </xdr:to>
    <xdr:pic>
      <xdr:nvPicPr>
        <xdr:cNvPr id="13" name="图片 12">
          <a:extLst>
            <a:ext uri="{FF2B5EF4-FFF2-40B4-BE49-F238E27FC236}">
              <a16:creationId xmlns:a16="http://schemas.microsoft.com/office/drawing/2014/main" id="{E0F517C9-98CA-8029-A7D6-EA1C04BEE7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22620" y="17663160"/>
          <a:ext cx="4419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11</xdr:col>
      <xdr:colOff>0</xdr:colOff>
      <xdr:row>96</xdr:row>
      <xdr:rowOff>0</xdr:rowOff>
    </xdr:from>
    <xdr:to>
      <xdr:col>12</xdr:col>
      <xdr:colOff>28575</xdr:colOff>
      <xdr:row>97</xdr:row>
      <xdr:rowOff>57150</xdr:rowOff>
    </xdr:to>
    <xdr:pic>
      <xdr:nvPicPr>
        <xdr:cNvPr id="14" name="图片 13">
          <a:extLst>
            <a:ext uri="{FF2B5EF4-FFF2-40B4-BE49-F238E27FC236}">
              <a16:creationId xmlns:a16="http://schemas.microsoft.com/office/drawing/2014/main" id="{BC5F83A7-73E5-5313-8665-B2CAEE895F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55441" y="17357912"/>
          <a:ext cx="633693" cy="2588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3</xdr:col>
      <xdr:colOff>0</xdr:colOff>
      <xdr:row>97</xdr:row>
      <xdr:rowOff>0</xdr:rowOff>
    </xdr:from>
    <xdr:to>
      <xdr:col>3</xdr:col>
      <xdr:colOff>106680</xdr:colOff>
      <xdr:row>97</xdr:row>
      <xdr:rowOff>160020</xdr:rowOff>
    </xdr:to>
    <xdr:pic>
      <xdr:nvPicPr>
        <xdr:cNvPr id="15" name="图片 14">
          <a:extLst>
            <a:ext uri="{FF2B5EF4-FFF2-40B4-BE49-F238E27FC236}">
              <a16:creationId xmlns:a16="http://schemas.microsoft.com/office/drawing/2014/main" id="{BC38A16F-957D-EAE6-0371-39F238E628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28800" y="17861280"/>
          <a:ext cx="10668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5</xdr:col>
      <xdr:colOff>0</xdr:colOff>
      <xdr:row>97</xdr:row>
      <xdr:rowOff>0</xdr:rowOff>
    </xdr:from>
    <xdr:to>
      <xdr:col>5</xdr:col>
      <xdr:colOff>106680</xdr:colOff>
      <xdr:row>97</xdr:row>
      <xdr:rowOff>160020</xdr:rowOff>
    </xdr:to>
    <xdr:pic>
      <xdr:nvPicPr>
        <xdr:cNvPr id="16" name="图片 15">
          <a:extLst>
            <a:ext uri="{FF2B5EF4-FFF2-40B4-BE49-F238E27FC236}">
              <a16:creationId xmlns:a16="http://schemas.microsoft.com/office/drawing/2014/main" id="{A5D58403-8F77-6E9C-F5FF-6E3B49E932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0" y="17861280"/>
          <a:ext cx="10668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0</xdr:colOff>
      <xdr:row>97</xdr:row>
      <xdr:rowOff>0</xdr:rowOff>
    </xdr:from>
    <xdr:to>
      <xdr:col>8</xdr:col>
      <xdr:colOff>106680</xdr:colOff>
      <xdr:row>97</xdr:row>
      <xdr:rowOff>160020</xdr:rowOff>
    </xdr:to>
    <xdr:pic>
      <xdr:nvPicPr>
        <xdr:cNvPr id="17" name="图片 16">
          <a:extLst>
            <a:ext uri="{FF2B5EF4-FFF2-40B4-BE49-F238E27FC236}">
              <a16:creationId xmlns:a16="http://schemas.microsoft.com/office/drawing/2014/main" id="{48CA5C36-7782-DF52-2E9C-3785C729F8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76800" y="17861280"/>
          <a:ext cx="106680" cy="160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10</xdr:col>
      <xdr:colOff>0</xdr:colOff>
      <xdr:row>96</xdr:row>
      <xdr:rowOff>0</xdr:rowOff>
    </xdr:from>
    <xdr:to>
      <xdr:col>10</xdr:col>
      <xdr:colOff>441960</xdr:colOff>
      <xdr:row>97</xdr:row>
      <xdr:rowOff>53340</xdr:rowOff>
    </xdr:to>
    <xdr:pic>
      <xdr:nvPicPr>
        <xdr:cNvPr id="18" name="图片 17">
          <a:extLst>
            <a:ext uri="{FF2B5EF4-FFF2-40B4-BE49-F238E27FC236}">
              <a16:creationId xmlns:a16="http://schemas.microsoft.com/office/drawing/2014/main" id="{823498DF-BAC8-4C83-A239-85A75CD381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92588" y="17357912"/>
          <a:ext cx="438150" cy="2588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0</xdr:colOff>
      <xdr:row>112</xdr:row>
      <xdr:rowOff>0</xdr:rowOff>
    </xdr:from>
    <xdr:to>
      <xdr:col>8</xdr:col>
      <xdr:colOff>419100</xdr:colOff>
      <xdr:row>113</xdr:row>
      <xdr:rowOff>83820</xdr:rowOff>
    </xdr:to>
    <xdr:pic>
      <xdr:nvPicPr>
        <xdr:cNvPr id="19" name="图片 18">
          <a:extLst>
            <a:ext uri="{FF2B5EF4-FFF2-40B4-BE49-F238E27FC236}">
              <a16:creationId xmlns:a16="http://schemas.microsoft.com/office/drawing/2014/main" id="{4C439EA8-7EAA-BE10-FD3C-6983B900DC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76800" y="20673060"/>
          <a:ext cx="419100" cy="2819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9</xdr:col>
      <xdr:colOff>0</xdr:colOff>
      <xdr:row>112</xdr:row>
      <xdr:rowOff>0</xdr:rowOff>
    </xdr:from>
    <xdr:to>
      <xdr:col>9</xdr:col>
      <xdr:colOff>640080</xdr:colOff>
      <xdr:row>113</xdr:row>
      <xdr:rowOff>83820</xdr:rowOff>
    </xdr:to>
    <xdr:pic>
      <xdr:nvPicPr>
        <xdr:cNvPr id="20" name="图片 19">
          <a:extLst>
            <a:ext uri="{FF2B5EF4-FFF2-40B4-BE49-F238E27FC236}">
              <a16:creationId xmlns:a16="http://schemas.microsoft.com/office/drawing/2014/main" id="{6219B044-1D39-DC34-7A09-795C7CB2CC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22620" y="20673060"/>
          <a:ext cx="640080" cy="2819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10</xdr:col>
      <xdr:colOff>0</xdr:colOff>
      <xdr:row>112</xdr:row>
      <xdr:rowOff>0</xdr:rowOff>
    </xdr:from>
    <xdr:to>
      <xdr:col>11</xdr:col>
      <xdr:colOff>30480</xdr:colOff>
      <xdr:row>113</xdr:row>
      <xdr:rowOff>83820</xdr:rowOff>
    </xdr:to>
    <xdr:pic>
      <xdr:nvPicPr>
        <xdr:cNvPr id="21" name="图片 20">
          <a:extLst>
            <a:ext uri="{FF2B5EF4-FFF2-40B4-BE49-F238E27FC236}">
              <a16:creationId xmlns:a16="http://schemas.microsoft.com/office/drawing/2014/main" id="{A2432A20-2525-C3E2-E730-C6D1B40F28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76060" y="20673060"/>
          <a:ext cx="640080" cy="2819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3</xdr:col>
      <xdr:colOff>0</xdr:colOff>
      <xdr:row>113</xdr:row>
      <xdr:rowOff>0</xdr:rowOff>
    </xdr:from>
    <xdr:to>
      <xdr:col>3</xdr:col>
      <xdr:colOff>106680</xdr:colOff>
      <xdr:row>113</xdr:row>
      <xdr:rowOff>182880</xdr:rowOff>
    </xdr:to>
    <xdr:pic>
      <xdr:nvPicPr>
        <xdr:cNvPr id="22" name="图片 21">
          <a:extLst>
            <a:ext uri="{FF2B5EF4-FFF2-40B4-BE49-F238E27FC236}">
              <a16:creationId xmlns:a16="http://schemas.microsoft.com/office/drawing/2014/main" id="{4B3B14BF-94D6-A2C9-7D1E-563C777214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28800" y="20871180"/>
          <a:ext cx="106680" cy="1828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5</xdr:col>
      <xdr:colOff>0</xdr:colOff>
      <xdr:row>113</xdr:row>
      <xdr:rowOff>0</xdr:rowOff>
    </xdr:from>
    <xdr:to>
      <xdr:col>5</xdr:col>
      <xdr:colOff>106680</xdr:colOff>
      <xdr:row>113</xdr:row>
      <xdr:rowOff>182880</xdr:rowOff>
    </xdr:to>
    <xdr:pic>
      <xdr:nvPicPr>
        <xdr:cNvPr id="23" name="图片 22">
          <a:extLst>
            <a:ext uri="{FF2B5EF4-FFF2-40B4-BE49-F238E27FC236}">
              <a16:creationId xmlns:a16="http://schemas.microsoft.com/office/drawing/2014/main" id="{930A9AAA-D799-A2C0-8090-960FE6D459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0" y="20871180"/>
          <a:ext cx="106680" cy="1828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7</xdr:col>
      <xdr:colOff>0</xdr:colOff>
      <xdr:row>113</xdr:row>
      <xdr:rowOff>0</xdr:rowOff>
    </xdr:from>
    <xdr:to>
      <xdr:col>7</xdr:col>
      <xdr:colOff>106680</xdr:colOff>
      <xdr:row>113</xdr:row>
      <xdr:rowOff>182880</xdr:rowOff>
    </xdr:to>
    <xdr:pic>
      <xdr:nvPicPr>
        <xdr:cNvPr id="24" name="图片 23">
          <a:extLst>
            <a:ext uri="{FF2B5EF4-FFF2-40B4-BE49-F238E27FC236}">
              <a16:creationId xmlns:a16="http://schemas.microsoft.com/office/drawing/2014/main" id="{9CDD9726-69FD-1B63-4C19-933A3D7822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67200" y="20871180"/>
          <a:ext cx="106680" cy="1828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9"/>
  <sheetViews>
    <sheetView workbookViewId="0">
      <selection activeCell="B34" sqref="B34"/>
    </sheetView>
  </sheetViews>
  <sheetFormatPr defaultRowHeight="14.4" x14ac:dyDescent="0.25"/>
  <cols>
    <col min="1" max="2" width="25.109375" bestFit="1" customWidth="1"/>
    <col min="3" max="3" width="42.44140625" bestFit="1" customWidth="1"/>
    <col min="4" max="4" width="19" bestFit="1" customWidth="1"/>
    <col min="5" max="5" width="26.33203125" bestFit="1" customWidth="1"/>
    <col min="6" max="7" width="25.109375" bestFit="1" customWidth="1"/>
    <col min="8" max="8" width="32.44140625" bestFit="1" customWidth="1"/>
    <col min="9" max="10" width="25.109375" bestFit="1" customWidth="1"/>
    <col min="11" max="11" width="32.44140625" bestFit="1" customWidth="1"/>
    <col min="12" max="13" width="25.109375" bestFit="1" customWidth="1"/>
    <col min="14" max="14" width="32.44140625" bestFit="1" customWidth="1"/>
    <col min="15" max="15" width="25.109375" bestFit="1" customWidth="1"/>
    <col min="16" max="16" width="42.44140625" bestFit="1" customWidth="1"/>
    <col min="17" max="17" width="32.44140625" bestFit="1" customWidth="1"/>
  </cols>
  <sheetData>
    <row r="1" spans="1:17" x14ac:dyDescent="0.25">
      <c r="A1" s="17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7" t="s">
        <v>10</v>
      </c>
      <c r="L1" s="17" t="s">
        <v>11</v>
      </c>
      <c r="M1" s="17" t="s">
        <v>12</v>
      </c>
      <c r="N1" s="17" t="s">
        <v>13</v>
      </c>
      <c r="O1" s="17" t="s">
        <v>14</v>
      </c>
      <c r="P1" s="17" t="s">
        <v>15</v>
      </c>
      <c r="Q1" s="17" t="s">
        <v>16</v>
      </c>
    </row>
    <row r="2" spans="1:17" x14ac:dyDescent="0.25">
      <c r="A2" t="s">
        <v>17</v>
      </c>
      <c r="B2">
        <v>0</v>
      </c>
      <c r="C2">
        <v>6.4510000000000012E-2</v>
      </c>
      <c r="D2">
        <v>0.12007</v>
      </c>
      <c r="E2">
        <v>0.12007</v>
      </c>
      <c r="F2">
        <v>6.9769999999999999E-2</v>
      </c>
      <c r="G2">
        <v>0.12651000000000001</v>
      </c>
      <c r="H2">
        <v>0.12695000000000001</v>
      </c>
      <c r="I2">
        <v>6.9769999999999999E-2</v>
      </c>
      <c r="J2">
        <v>0.11637</v>
      </c>
      <c r="K2">
        <v>0.1164</v>
      </c>
      <c r="L2">
        <v>6.473000000000001E-2</v>
      </c>
      <c r="M2">
        <v>0.12651000000000001</v>
      </c>
      <c r="N2">
        <v>0.12665999999999999</v>
      </c>
      <c r="O2">
        <v>6.473000000000001E-2</v>
      </c>
      <c r="P2">
        <v>0.11637</v>
      </c>
      <c r="Q2">
        <v>0.11650000000000001</v>
      </c>
    </row>
    <row r="3" spans="1:17" x14ac:dyDescent="0.25">
      <c r="A3" t="s">
        <v>18</v>
      </c>
      <c r="B3">
        <v>5</v>
      </c>
      <c r="C3">
        <v>6.4549999999999996E-2</v>
      </c>
      <c r="D3">
        <v>0.13819999999999999</v>
      </c>
      <c r="E3">
        <v>0.13821</v>
      </c>
      <c r="F3">
        <v>6.9930000000000006E-2</v>
      </c>
      <c r="G3">
        <v>0.14532</v>
      </c>
      <c r="H3">
        <v>0.14552999999999999</v>
      </c>
      <c r="I3">
        <v>6.9930000000000006E-2</v>
      </c>
      <c r="J3">
        <v>0.13381999999999999</v>
      </c>
      <c r="K3">
        <v>0.13381000000000001</v>
      </c>
      <c r="L3">
        <v>6.5129999999999993E-2</v>
      </c>
      <c r="M3">
        <v>0.14532</v>
      </c>
      <c r="N3">
        <v>0.14563000000000001</v>
      </c>
      <c r="O3">
        <v>6.5129999999999993E-2</v>
      </c>
      <c r="P3">
        <v>0.13381999999999999</v>
      </c>
      <c r="Q3">
        <v>0.13408999999999999</v>
      </c>
    </row>
    <row r="4" spans="1:17" x14ac:dyDescent="0.25">
      <c r="A4" t="s">
        <v>19</v>
      </c>
      <c r="B4">
        <v>10</v>
      </c>
      <c r="C4">
        <v>5.4309999999999997E-2</v>
      </c>
      <c r="D4">
        <v>0.12631000000000001</v>
      </c>
      <c r="E4">
        <v>0.1263</v>
      </c>
      <c r="F4">
        <v>5.9639999999999999E-2</v>
      </c>
      <c r="G4">
        <v>0.13277</v>
      </c>
      <c r="H4">
        <v>0.13299</v>
      </c>
      <c r="I4">
        <v>5.9639999999999999E-2</v>
      </c>
      <c r="J4">
        <v>0.12255000000000001</v>
      </c>
      <c r="K4">
        <v>0.12254</v>
      </c>
      <c r="L4">
        <v>5.525E-2</v>
      </c>
      <c r="M4">
        <v>0.13277</v>
      </c>
      <c r="N4">
        <v>0.13300999999999999</v>
      </c>
      <c r="O4">
        <v>5.525E-2</v>
      </c>
      <c r="P4">
        <v>0.12255000000000001</v>
      </c>
      <c r="Q4">
        <v>0.12271</v>
      </c>
    </row>
    <row r="5" spans="1:17" x14ac:dyDescent="0.25">
      <c r="A5" t="s">
        <v>20</v>
      </c>
      <c r="B5">
        <v>15</v>
      </c>
      <c r="C5">
        <v>5.9229999999999998E-2</v>
      </c>
      <c r="D5">
        <v>0.11303000000000001</v>
      </c>
      <c r="E5">
        <v>0.11305</v>
      </c>
      <c r="F5">
        <v>6.4280000000000004E-2</v>
      </c>
      <c r="G5">
        <v>0.11871</v>
      </c>
      <c r="H5">
        <v>0.11885999999999999</v>
      </c>
      <c r="I5">
        <v>6.4280000000000004E-2</v>
      </c>
      <c r="J5">
        <v>0.11024</v>
      </c>
      <c r="K5">
        <v>0.11024</v>
      </c>
      <c r="L5">
        <v>6.012E-2</v>
      </c>
      <c r="M5">
        <v>0.11871</v>
      </c>
      <c r="N5">
        <v>0.11905</v>
      </c>
      <c r="O5">
        <v>6.012E-2</v>
      </c>
      <c r="P5">
        <v>0.11024</v>
      </c>
      <c r="Q5">
        <v>0.1105</v>
      </c>
    </row>
    <row r="6" spans="1:17" x14ac:dyDescent="0.25">
      <c r="A6" t="s">
        <v>21</v>
      </c>
      <c r="B6">
        <v>20</v>
      </c>
      <c r="C6">
        <v>4.9919999999999999E-2</v>
      </c>
      <c r="D6">
        <v>9.4790000000000013E-2</v>
      </c>
      <c r="E6">
        <v>9.4879999999999992E-2</v>
      </c>
      <c r="F6">
        <v>5.4140000000000001E-2</v>
      </c>
      <c r="G6">
        <v>9.9510000000000001E-2</v>
      </c>
      <c r="H6">
        <v>9.955E-2</v>
      </c>
      <c r="I6">
        <v>5.4140000000000001E-2</v>
      </c>
      <c r="J6">
        <v>9.2450000000000004E-2</v>
      </c>
      <c r="K6">
        <v>9.2499999999999999E-2</v>
      </c>
      <c r="L6">
        <v>5.0380000000000001E-2</v>
      </c>
      <c r="M6">
        <v>9.9510000000000001E-2</v>
      </c>
      <c r="N6">
        <v>9.9919999999999995E-2</v>
      </c>
      <c r="O6">
        <v>5.0380000000000001E-2</v>
      </c>
      <c r="P6">
        <v>9.2450000000000004E-2</v>
      </c>
      <c r="Q6">
        <v>9.2799999999999994E-2</v>
      </c>
    </row>
    <row r="7" spans="1:17" x14ac:dyDescent="0.25">
      <c r="A7" t="s">
        <v>22</v>
      </c>
      <c r="B7">
        <v>25</v>
      </c>
      <c r="C7">
        <v>5.0889999999999998E-2</v>
      </c>
      <c r="D7">
        <v>7.7719999999999997E-2</v>
      </c>
      <c r="E7">
        <v>7.7790000000000012E-2</v>
      </c>
      <c r="F7">
        <v>5.4609999999999999E-2</v>
      </c>
      <c r="G7">
        <v>8.181999999999999E-2</v>
      </c>
      <c r="H7">
        <v>8.1939999999999999E-2</v>
      </c>
      <c r="I7">
        <v>5.4609999999999999E-2</v>
      </c>
      <c r="J7">
        <v>7.5870000000000007E-2</v>
      </c>
      <c r="K7">
        <v>7.5950000000000004E-2</v>
      </c>
      <c r="L7">
        <v>5.1290000000000002E-2</v>
      </c>
      <c r="M7">
        <v>8.181999999999999E-2</v>
      </c>
      <c r="N7">
        <v>8.2189999999999999E-2</v>
      </c>
      <c r="O7">
        <v>5.1290000000000002E-2</v>
      </c>
      <c r="P7">
        <v>7.5870000000000007E-2</v>
      </c>
      <c r="Q7">
        <v>7.6239999999999988E-2</v>
      </c>
    </row>
    <row r="8" spans="1:17" x14ac:dyDescent="0.25">
      <c r="A8" t="s">
        <v>23</v>
      </c>
      <c r="B8">
        <v>30</v>
      </c>
      <c r="C8">
        <v>5.0110000000000002E-2</v>
      </c>
      <c r="D8">
        <v>7.7930000000000013E-2</v>
      </c>
      <c r="E8">
        <v>7.7959999999999988E-2</v>
      </c>
      <c r="F8">
        <v>5.3310000000000003E-2</v>
      </c>
      <c r="G8">
        <v>8.2019999999999996E-2</v>
      </c>
      <c r="H8">
        <v>8.2170000000000007E-2</v>
      </c>
      <c r="I8">
        <v>5.3310000000000003E-2</v>
      </c>
      <c r="J8">
        <v>7.5700000000000003E-2</v>
      </c>
      <c r="K8">
        <v>7.571E-2</v>
      </c>
      <c r="L8">
        <v>5.0360000000000002E-2</v>
      </c>
      <c r="M8">
        <v>8.2019999999999996E-2</v>
      </c>
      <c r="N8">
        <v>8.2290000000000002E-2</v>
      </c>
      <c r="O8">
        <v>5.0360000000000002E-2</v>
      </c>
      <c r="P8">
        <v>7.5700000000000003E-2</v>
      </c>
      <c r="Q8">
        <v>7.5989999999999988E-2</v>
      </c>
    </row>
    <row r="9" spans="1:17" x14ac:dyDescent="0.25">
      <c r="A9" t="s">
        <v>24</v>
      </c>
      <c r="B9">
        <v>35</v>
      </c>
      <c r="C9">
        <v>5.6300000000000003E-2</v>
      </c>
      <c r="D9">
        <v>6.966E-2</v>
      </c>
      <c r="E9">
        <v>7.1650000000000005E-2</v>
      </c>
      <c r="F9">
        <v>5.9360000000000003E-2</v>
      </c>
      <c r="G9">
        <v>7.3209999999999997E-2</v>
      </c>
      <c r="H9">
        <v>7.5400000000000009E-2</v>
      </c>
      <c r="I9">
        <v>5.9360000000000003E-2</v>
      </c>
      <c r="J9">
        <v>6.7849999999999994E-2</v>
      </c>
      <c r="K9">
        <v>7.2120000000000004E-2</v>
      </c>
      <c r="L9">
        <v>5.5879999999999999E-2</v>
      </c>
      <c r="M9">
        <v>7.3209999999999997E-2</v>
      </c>
      <c r="N9">
        <v>7.3810000000000001E-2</v>
      </c>
      <c r="O9">
        <v>5.5879999999999999E-2</v>
      </c>
      <c r="P9">
        <v>6.7849999999999994E-2</v>
      </c>
      <c r="Q9">
        <v>7.0319999999999994E-2</v>
      </c>
    </row>
    <row r="10" spans="1:17" x14ac:dyDescent="0.25">
      <c r="A10" t="s">
        <v>25</v>
      </c>
      <c r="B10">
        <v>40</v>
      </c>
      <c r="C10">
        <v>5.6120000000000003E-2</v>
      </c>
      <c r="D10">
        <v>6.2049999999999987E-2</v>
      </c>
      <c r="E10">
        <v>6.6909999999999997E-2</v>
      </c>
      <c r="F10">
        <v>5.919E-2</v>
      </c>
      <c r="G10">
        <v>6.5709999999999991E-2</v>
      </c>
      <c r="H10">
        <v>7.0730000000000001E-2</v>
      </c>
      <c r="I10">
        <v>5.919E-2</v>
      </c>
      <c r="J10">
        <v>6.0010000000000001E-2</v>
      </c>
      <c r="K10">
        <v>6.7420000000000008E-2</v>
      </c>
      <c r="L10">
        <v>5.525E-2</v>
      </c>
      <c r="M10">
        <v>6.5709999999999991E-2</v>
      </c>
      <c r="N10">
        <v>6.8659999999999999E-2</v>
      </c>
      <c r="O10">
        <v>5.525E-2</v>
      </c>
      <c r="P10">
        <v>6.0010000000000001E-2</v>
      </c>
      <c r="Q10">
        <v>6.5239999999999992E-2</v>
      </c>
    </row>
    <row r="11" spans="1:17" x14ac:dyDescent="0.25">
      <c r="A11" t="s">
        <v>26</v>
      </c>
      <c r="B11">
        <v>45</v>
      </c>
      <c r="C11">
        <v>5.4100000000000002E-2</v>
      </c>
      <c r="D11">
        <v>6.1940000000000002E-2</v>
      </c>
      <c r="E11">
        <v>6.5790000000000001E-2</v>
      </c>
      <c r="F11">
        <v>5.6939999999999998E-2</v>
      </c>
      <c r="G11">
        <v>6.5370000000000011E-2</v>
      </c>
      <c r="H11">
        <v>6.9339999999999999E-2</v>
      </c>
      <c r="I11">
        <v>5.6939999999999998E-2</v>
      </c>
      <c r="J11">
        <v>5.9889999999999999E-2</v>
      </c>
      <c r="K11">
        <v>6.6099999999999992E-2</v>
      </c>
      <c r="L11">
        <v>5.3179999999999998E-2</v>
      </c>
      <c r="M11">
        <v>6.5370000000000011E-2</v>
      </c>
      <c r="N11">
        <v>6.7409999999999998E-2</v>
      </c>
      <c r="O11">
        <v>5.3179999999999998E-2</v>
      </c>
      <c r="P11">
        <v>5.9889999999999999E-2</v>
      </c>
      <c r="Q11">
        <v>6.4069999999999988E-2</v>
      </c>
    </row>
    <row r="13" spans="1:17" x14ac:dyDescent="0.25">
      <c r="A13" s="17" t="s">
        <v>11</v>
      </c>
      <c r="B13" s="17" t="s">
        <v>12</v>
      </c>
      <c r="C13" s="17" t="s">
        <v>13</v>
      </c>
    </row>
    <row r="14" spans="1:17" x14ac:dyDescent="0.25">
      <c r="A14">
        <v>6.473000000000001E-2</v>
      </c>
      <c r="B14">
        <v>0.12651000000000001</v>
      </c>
      <c r="C14">
        <v>0.12665999999999999</v>
      </c>
    </row>
    <row r="15" spans="1:17" x14ac:dyDescent="0.25">
      <c r="A15">
        <v>6.5129999999999993E-2</v>
      </c>
      <c r="B15">
        <v>0.14532</v>
      </c>
      <c r="C15">
        <v>0.14563000000000001</v>
      </c>
    </row>
    <row r="16" spans="1:17" x14ac:dyDescent="0.25">
      <c r="A16">
        <v>5.525E-2</v>
      </c>
      <c r="B16">
        <v>0.13277</v>
      </c>
      <c r="C16">
        <v>0.13300999999999999</v>
      </c>
    </row>
    <row r="17" spans="1:17" x14ac:dyDescent="0.25">
      <c r="A17">
        <v>6.012E-2</v>
      </c>
      <c r="B17">
        <v>0.11871</v>
      </c>
      <c r="C17">
        <v>0.11905</v>
      </c>
    </row>
    <row r="18" spans="1:17" x14ac:dyDescent="0.25">
      <c r="A18">
        <v>5.0380000000000001E-2</v>
      </c>
      <c r="B18">
        <v>9.9510000000000001E-2</v>
      </c>
      <c r="C18">
        <v>9.9919999999999995E-2</v>
      </c>
    </row>
    <row r="19" spans="1:17" x14ac:dyDescent="0.25">
      <c r="A19">
        <v>5.1290000000000002E-2</v>
      </c>
      <c r="B19">
        <v>8.181999999999999E-2</v>
      </c>
      <c r="C19">
        <v>8.2189999999999999E-2</v>
      </c>
    </row>
    <row r="20" spans="1:17" x14ac:dyDescent="0.25">
      <c r="A20">
        <v>5.0360000000000002E-2</v>
      </c>
      <c r="B20">
        <v>8.2019999999999996E-2</v>
      </c>
      <c r="C20">
        <v>8.2290000000000002E-2</v>
      </c>
    </row>
    <row r="21" spans="1:17" x14ac:dyDescent="0.25">
      <c r="A21">
        <v>5.5879999999999999E-2</v>
      </c>
      <c r="B21">
        <v>7.3209999999999997E-2</v>
      </c>
      <c r="C21">
        <v>7.3810000000000001E-2</v>
      </c>
    </row>
    <row r="22" spans="1:17" x14ac:dyDescent="0.25">
      <c r="A22">
        <v>5.525E-2</v>
      </c>
      <c r="B22">
        <v>6.5709999999999991E-2</v>
      </c>
      <c r="C22">
        <v>6.8659999999999999E-2</v>
      </c>
    </row>
    <row r="23" spans="1:17" x14ac:dyDescent="0.25">
      <c r="A23">
        <v>5.3179999999999998E-2</v>
      </c>
      <c r="B23">
        <v>6.5370000000000011E-2</v>
      </c>
      <c r="C23">
        <v>6.7409999999999998E-2</v>
      </c>
    </row>
    <row r="24" spans="1:17" x14ac:dyDescent="0.25">
      <c r="B24">
        <f>(C15-D3)/D3</f>
        <v>5.3762662807525473E-2</v>
      </c>
      <c r="C24">
        <f>(C15-B15)/B15</f>
        <v>2.1332232314891599E-3</v>
      </c>
    </row>
    <row r="29" spans="1:17" x14ac:dyDescent="0.25">
      <c r="C29" t="s">
        <v>27</v>
      </c>
      <c r="P29" t="s">
        <v>27</v>
      </c>
    </row>
    <row r="30" spans="1:17" x14ac:dyDescent="0.25">
      <c r="C30">
        <f>(C2-C14)/C14</f>
        <v>-0.49068372019579964</v>
      </c>
      <c r="D30">
        <f t="shared" ref="D30:D39" si="0">(D2-C14)/C14</f>
        <v>-5.2029054160745297E-2</v>
      </c>
      <c r="P30">
        <f>(A14-C14)/C14</f>
        <v>-0.48894678667298269</v>
      </c>
      <c r="Q30">
        <f>(B14-C14)/C14</f>
        <v>-1.1842728564659994E-3</v>
      </c>
    </row>
    <row r="31" spans="1:17" x14ac:dyDescent="0.25">
      <c r="C31">
        <f>(C3-C15)/C15</f>
        <v>-0.55675341619171881</v>
      </c>
      <c r="D31">
        <f>(D3-C15)/C15</f>
        <v>-5.1019707477854968E-2</v>
      </c>
      <c r="P31">
        <f t="shared" ref="P31:P39" si="1">(A15-C15)/C15</f>
        <v>-0.55277072031861574</v>
      </c>
      <c r="Q31">
        <f t="shared" ref="Q31:Q39" si="2">(B15-C15)/C15</f>
        <v>-2.128682277003397E-3</v>
      </c>
    </row>
    <row r="32" spans="1:17" x14ac:dyDescent="0.25">
      <c r="C32">
        <f t="shared" ref="C32:C39" si="3">(C4-C16)/C16</f>
        <v>-0.5916848357266371</v>
      </c>
      <c r="D32">
        <f t="shared" si="0"/>
        <v>-5.0372152469739001E-2</v>
      </c>
      <c r="P32">
        <f t="shared" si="1"/>
        <v>-0.58461769791744989</v>
      </c>
      <c r="Q32">
        <f t="shared" si="2"/>
        <v>-1.8043756108562532E-3</v>
      </c>
    </row>
    <row r="33" spans="3:17" x14ac:dyDescent="0.25">
      <c r="C33">
        <f t="shared" si="3"/>
        <v>-0.50247795044099119</v>
      </c>
      <c r="D33">
        <f t="shared" si="0"/>
        <v>-5.0566988660226776E-2</v>
      </c>
      <c r="P33">
        <f t="shared" si="1"/>
        <v>-0.49500209995800087</v>
      </c>
      <c r="Q33">
        <f t="shared" si="2"/>
        <v>-2.8559428811424357E-3</v>
      </c>
    </row>
    <row r="34" spans="3:17" x14ac:dyDescent="0.25">
      <c r="C34">
        <f t="shared" si="3"/>
        <v>-0.50040032025620496</v>
      </c>
      <c r="D34">
        <f t="shared" si="0"/>
        <v>-5.134107285828645E-2</v>
      </c>
      <c r="P34">
        <f t="shared" si="1"/>
        <v>-0.49579663730984785</v>
      </c>
      <c r="Q34">
        <f t="shared" si="2"/>
        <v>-4.1032826261008177E-3</v>
      </c>
    </row>
    <row r="35" spans="3:17" x14ac:dyDescent="0.25">
      <c r="C35">
        <f t="shared" si="3"/>
        <v>-0.38082491787322059</v>
      </c>
      <c r="D35">
        <f t="shared" si="0"/>
        <v>-5.4386178367197981E-2</v>
      </c>
      <c r="P35">
        <f t="shared" si="1"/>
        <v>-0.37595814575982478</v>
      </c>
      <c r="Q35">
        <f t="shared" si="2"/>
        <v>-4.5017642048912178E-3</v>
      </c>
    </row>
    <row r="36" spans="3:17" x14ac:dyDescent="0.25">
      <c r="C36">
        <f t="shared" si="3"/>
        <v>-0.39105602138777495</v>
      </c>
      <c r="D36">
        <f t="shared" si="0"/>
        <v>-5.2983351561550478E-2</v>
      </c>
      <c r="P36">
        <f t="shared" si="1"/>
        <v>-0.3880179851743833</v>
      </c>
      <c r="Q36">
        <f t="shared" si="2"/>
        <v>-3.2810791104630737E-3</v>
      </c>
    </row>
    <row r="37" spans="3:17" x14ac:dyDescent="0.25">
      <c r="C37">
        <f t="shared" si="3"/>
        <v>-0.23723072754369323</v>
      </c>
      <c r="D37">
        <f t="shared" si="0"/>
        <v>-5.6225443706814808E-2</v>
      </c>
      <c r="P37">
        <f t="shared" si="1"/>
        <v>-0.24292101341281672</v>
      </c>
      <c r="Q37">
        <f t="shared" si="2"/>
        <v>-8.1289798130335083E-3</v>
      </c>
    </row>
    <row r="38" spans="3:17" x14ac:dyDescent="0.25">
      <c r="C38">
        <f t="shared" si="3"/>
        <v>-0.18263909117390031</v>
      </c>
      <c r="D38">
        <f t="shared" si="0"/>
        <v>-9.6271482668220387E-2</v>
      </c>
      <c r="P38">
        <f t="shared" si="1"/>
        <v>-0.19531022429362072</v>
      </c>
      <c r="Q38">
        <f t="shared" si="2"/>
        <v>-4.2965336440431233E-2</v>
      </c>
    </row>
    <row r="39" spans="3:17" x14ac:dyDescent="0.25">
      <c r="C39">
        <f t="shared" si="3"/>
        <v>-0.19744844978489831</v>
      </c>
      <c r="D39">
        <f t="shared" si="0"/>
        <v>-8.1145230677940897E-2</v>
      </c>
      <c r="P39">
        <f t="shared" si="1"/>
        <v>-0.21109627651683727</v>
      </c>
      <c r="Q39">
        <f t="shared" si="2"/>
        <v>-3.0262572318646881E-2</v>
      </c>
    </row>
  </sheetData>
  <phoneticPr fontId="1" type="noConversion"/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64"/>
  <sheetViews>
    <sheetView topLeftCell="A19" zoomScale="85" zoomScaleNormal="85" workbookViewId="0">
      <selection activeCell="O46" sqref="O46"/>
    </sheetView>
  </sheetViews>
  <sheetFormatPr defaultRowHeight="14.4" x14ac:dyDescent="0.25"/>
  <sheetData>
    <row r="1" spans="1:17" x14ac:dyDescent="0.25">
      <c r="A1" s="17" t="s">
        <v>0</v>
      </c>
      <c r="B1" s="17" t="s">
        <v>1</v>
      </c>
      <c r="C1" s="17" t="s">
        <v>28</v>
      </c>
      <c r="D1" s="17" t="s">
        <v>29</v>
      </c>
      <c r="E1" s="17" t="s">
        <v>30</v>
      </c>
      <c r="F1" s="17" t="s">
        <v>31</v>
      </c>
      <c r="G1" s="17" t="s">
        <v>32</v>
      </c>
      <c r="H1" s="17" t="s">
        <v>33</v>
      </c>
      <c r="I1" s="17" t="s">
        <v>34</v>
      </c>
      <c r="J1" s="17" t="s">
        <v>35</v>
      </c>
      <c r="K1" s="17" t="s">
        <v>36</v>
      </c>
      <c r="L1" s="17" t="s">
        <v>37</v>
      </c>
      <c r="M1" s="17" t="s">
        <v>38</v>
      </c>
      <c r="N1" s="17" t="s">
        <v>39</v>
      </c>
      <c r="O1" s="17" t="s">
        <v>40</v>
      </c>
      <c r="P1" s="17" t="s">
        <v>41</v>
      </c>
      <c r="Q1" s="17" t="s">
        <v>42</v>
      </c>
    </row>
    <row r="2" spans="1:17" x14ac:dyDescent="0.25">
      <c r="A2" t="s">
        <v>43</v>
      </c>
      <c r="B2">
        <v>0</v>
      </c>
      <c r="C2">
        <v>5.9330000000000001E-2</v>
      </c>
      <c r="D2">
        <v>8.0399999999999999E-2</v>
      </c>
      <c r="E2">
        <v>8.0379999999999993E-2</v>
      </c>
      <c r="F2">
        <v>7.4389999999999998E-2</v>
      </c>
      <c r="G2">
        <v>5.6489999999999999E-2</v>
      </c>
      <c r="H2">
        <v>7.6859999999999998E-2</v>
      </c>
      <c r="I2">
        <v>8.7139999999999995E-2</v>
      </c>
      <c r="J2">
        <v>5.6489999999999999E-2</v>
      </c>
      <c r="K2">
        <v>8.8510000000000005E-2</v>
      </c>
      <c r="L2">
        <v>8.7139999999999995E-2</v>
      </c>
      <c r="M2">
        <v>6.9879999999999998E-2</v>
      </c>
      <c r="N2">
        <v>9.1069999999999998E-2</v>
      </c>
      <c r="O2">
        <v>7.4389999999999998E-2</v>
      </c>
      <c r="P2">
        <v>6.9879999999999998E-2</v>
      </c>
      <c r="Q2">
        <v>8.165E-2</v>
      </c>
    </row>
    <row r="3" spans="1:17" x14ac:dyDescent="0.25">
      <c r="A3" t="s">
        <v>44</v>
      </c>
      <c r="B3">
        <v>5</v>
      </c>
      <c r="C3">
        <v>6.0400000000000002E-2</v>
      </c>
      <c r="D3">
        <v>6.8069999999999992E-2</v>
      </c>
      <c r="E3">
        <v>7.2800000000000004E-2</v>
      </c>
      <c r="F3">
        <v>6.318E-2</v>
      </c>
      <c r="G3">
        <v>5.7259999999999998E-2</v>
      </c>
      <c r="H3">
        <v>6.8209999999999993E-2</v>
      </c>
      <c r="I3">
        <v>7.3819999999999997E-2</v>
      </c>
      <c r="J3">
        <v>5.7259999999999998E-2</v>
      </c>
      <c r="K3">
        <v>7.6079999999999995E-2</v>
      </c>
      <c r="L3">
        <v>7.3819999999999997E-2</v>
      </c>
      <c r="M3">
        <v>6.9889999999999994E-2</v>
      </c>
      <c r="N3">
        <v>8.131999999999999E-2</v>
      </c>
      <c r="O3">
        <v>6.318E-2</v>
      </c>
      <c r="P3">
        <v>6.9889999999999994E-2</v>
      </c>
      <c r="Q3">
        <v>7.5370000000000006E-2</v>
      </c>
    </row>
    <row r="4" spans="1:17" x14ac:dyDescent="0.25">
      <c r="A4" t="s">
        <v>45</v>
      </c>
      <c r="B4">
        <v>10</v>
      </c>
      <c r="C4">
        <v>6.0840000000000012E-2</v>
      </c>
      <c r="D4">
        <v>8.3290000000000003E-2</v>
      </c>
      <c r="E4">
        <v>8.3290000000000003E-2</v>
      </c>
      <c r="F4">
        <v>7.714E-2</v>
      </c>
      <c r="G4">
        <v>5.7459999999999997E-2</v>
      </c>
      <c r="H4">
        <v>8.0069999999999988E-2</v>
      </c>
      <c r="I4">
        <v>9.0029999999999999E-2</v>
      </c>
      <c r="J4">
        <v>5.7459999999999997E-2</v>
      </c>
      <c r="K4">
        <v>9.1569999999999999E-2</v>
      </c>
      <c r="L4">
        <v>9.0029999999999999E-2</v>
      </c>
      <c r="M4">
        <v>7.1169999999999997E-2</v>
      </c>
      <c r="N4">
        <v>9.3310000000000004E-2</v>
      </c>
      <c r="O4">
        <v>7.714E-2</v>
      </c>
      <c r="P4">
        <v>7.1169999999999997E-2</v>
      </c>
      <c r="Q4">
        <v>8.3949999999999997E-2</v>
      </c>
    </row>
    <row r="5" spans="1:17" x14ac:dyDescent="0.25">
      <c r="A5" t="s">
        <v>46</v>
      </c>
      <c r="B5">
        <v>15</v>
      </c>
      <c r="C5">
        <v>5.8270000000000002E-2</v>
      </c>
      <c r="D5">
        <v>6.7720000000000002E-2</v>
      </c>
      <c r="E5">
        <v>7.1470000000000006E-2</v>
      </c>
      <c r="F5">
        <v>6.2740000000000004E-2</v>
      </c>
      <c r="G5">
        <v>5.4820000000000001E-2</v>
      </c>
      <c r="H5">
        <v>6.6640000000000005E-2</v>
      </c>
      <c r="I5">
        <v>7.3319999999999996E-2</v>
      </c>
      <c r="J5">
        <v>5.4820000000000001E-2</v>
      </c>
      <c r="K5">
        <v>7.4730000000000005E-2</v>
      </c>
      <c r="L5">
        <v>7.3319999999999996E-2</v>
      </c>
      <c r="M5">
        <v>6.7080000000000001E-2</v>
      </c>
      <c r="N5">
        <v>7.9489999999999991E-2</v>
      </c>
      <c r="O5">
        <v>6.2740000000000004E-2</v>
      </c>
      <c r="P5">
        <v>6.7080000000000001E-2</v>
      </c>
      <c r="Q5">
        <v>7.3469999999999994E-2</v>
      </c>
    </row>
    <row r="6" spans="1:17" x14ac:dyDescent="0.25">
      <c r="A6" t="s">
        <v>47</v>
      </c>
      <c r="B6">
        <v>20</v>
      </c>
      <c r="C6">
        <v>5.4710000000000002E-2</v>
      </c>
      <c r="D6">
        <v>7.2819999999999996E-2</v>
      </c>
      <c r="E6">
        <v>7.2950000000000001E-2</v>
      </c>
      <c r="F6">
        <v>6.7369999999999999E-2</v>
      </c>
      <c r="G6">
        <v>5.3190000000000001E-2</v>
      </c>
      <c r="H6">
        <v>7.0970000000000005E-2</v>
      </c>
      <c r="I6">
        <v>7.887000000000001E-2</v>
      </c>
      <c r="J6">
        <v>5.3190000000000001E-2</v>
      </c>
      <c r="K6">
        <v>8.1009999999999999E-2</v>
      </c>
      <c r="L6">
        <v>7.887000000000001E-2</v>
      </c>
      <c r="M6">
        <v>6.2869999999999995E-2</v>
      </c>
      <c r="N6">
        <v>8.1220000000000001E-2</v>
      </c>
      <c r="O6">
        <v>6.7369999999999999E-2</v>
      </c>
      <c r="P6">
        <v>6.2869999999999995E-2</v>
      </c>
      <c r="Q6">
        <v>7.3709999999999998E-2</v>
      </c>
    </row>
    <row r="7" spans="1:17" x14ac:dyDescent="0.25">
      <c r="A7" t="s">
        <v>48</v>
      </c>
      <c r="B7">
        <v>25</v>
      </c>
      <c r="C7">
        <v>4.9709999999999997E-2</v>
      </c>
      <c r="D7">
        <v>5.9909999999999998E-2</v>
      </c>
      <c r="E7">
        <v>6.2270000000000013E-2</v>
      </c>
      <c r="F7">
        <v>5.5640000000000002E-2</v>
      </c>
      <c r="G7">
        <v>4.7630000000000013E-2</v>
      </c>
      <c r="H7">
        <v>5.8590000000000003E-2</v>
      </c>
      <c r="I7">
        <v>6.4899999999999999E-2</v>
      </c>
      <c r="J7">
        <v>4.7630000000000013E-2</v>
      </c>
      <c r="K7">
        <v>6.6099999999999992E-2</v>
      </c>
      <c r="L7">
        <v>6.4899999999999999E-2</v>
      </c>
      <c r="M7">
        <v>5.7540000000000001E-2</v>
      </c>
      <c r="N7">
        <v>6.9379999999999997E-2</v>
      </c>
      <c r="O7">
        <v>5.5640000000000002E-2</v>
      </c>
      <c r="P7">
        <v>5.7540000000000001E-2</v>
      </c>
      <c r="Q7">
        <v>6.4030000000000004E-2</v>
      </c>
    </row>
    <row r="8" spans="1:17" x14ac:dyDescent="0.25">
      <c r="A8" t="s">
        <v>49</v>
      </c>
      <c r="B8">
        <v>30</v>
      </c>
      <c r="C8">
        <v>4.4650000000000002E-2</v>
      </c>
      <c r="D8">
        <v>5.7419999999999999E-2</v>
      </c>
      <c r="E8">
        <v>5.8189999999999999E-2</v>
      </c>
      <c r="F8">
        <v>5.314E-2</v>
      </c>
      <c r="G8">
        <v>4.2540000000000001E-2</v>
      </c>
      <c r="H8">
        <v>5.4969999999999998E-2</v>
      </c>
      <c r="I8">
        <v>6.2270000000000013E-2</v>
      </c>
      <c r="J8">
        <v>4.2540000000000001E-2</v>
      </c>
      <c r="K8">
        <v>6.3210000000000002E-2</v>
      </c>
      <c r="L8">
        <v>6.2270000000000013E-2</v>
      </c>
      <c r="M8">
        <v>5.2139999999999999E-2</v>
      </c>
      <c r="N8">
        <v>6.5769999999999995E-2</v>
      </c>
      <c r="O8">
        <v>5.314E-2</v>
      </c>
      <c r="P8">
        <v>5.2139999999999999E-2</v>
      </c>
      <c r="Q8">
        <v>5.9549999999999999E-2</v>
      </c>
    </row>
    <row r="9" spans="1:17" x14ac:dyDescent="0.25">
      <c r="A9" t="s">
        <v>50</v>
      </c>
      <c r="B9">
        <v>35</v>
      </c>
      <c r="C9">
        <v>3.3939999999999998E-2</v>
      </c>
      <c r="D9">
        <v>5.2159999999999998E-2</v>
      </c>
      <c r="E9">
        <v>5.2170000000000001E-2</v>
      </c>
      <c r="F9">
        <v>4.8259999999999997E-2</v>
      </c>
      <c r="G9">
        <v>3.4130000000000001E-2</v>
      </c>
      <c r="H9">
        <v>4.9759999999999999E-2</v>
      </c>
      <c r="I9">
        <v>5.6509999999999998E-2</v>
      </c>
      <c r="J9">
        <v>3.4130000000000001E-2</v>
      </c>
      <c r="K9">
        <v>5.7669999999999999E-2</v>
      </c>
      <c r="L9">
        <v>5.6509999999999998E-2</v>
      </c>
      <c r="M9">
        <v>3.9409999999999987E-2</v>
      </c>
      <c r="N9">
        <v>5.808E-2</v>
      </c>
      <c r="O9">
        <v>4.8259999999999997E-2</v>
      </c>
      <c r="P9">
        <v>3.9409999999999987E-2</v>
      </c>
      <c r="Q9">
        <v>4.9840000000000002E-2</v>
      </c>
    </row>
    <row r="10" spans="1:17" x14ac:dyDescent="0.25">
      <c r="A10" t="s">
        <v>51</v>
      </c>
      <c r="B10">
        <v>40</v>
      </c>
      <c r="C10">
        <v>3.3250000000000002E-2</v>
      </c>
      <c r="D10">
        <v>4.8460000000000003E-2</v>
      </c>
      <c r="E10">
        <v>4.8480000000000002E-2</v>
      </c>
      <c r="F10">
        <v>4.48E-2</v>
      </c>
      <c r="G10">
        <v>3.2680000000000001E-2</v>
      </c>
      <c r="H10">
        <v>4.6549999999999987E-2</v>
      </c>
      <c r="I10">
        <v>5.2470000000000003E-2</v>
      </c>
      <c r="J10">
        <v>3.2680000000000001E-2</v>
      </c>
      <c r="K10">
        <v>5.3629999999999997E-2</v>
      </c>
      <c r="L10">
        <v>5.2470000000000003E-2</v>
      </c>
      <c r="M10">
        <v>3.8490000000000003E-2</v>
      </c>
      <c r="N10">
        <v>5.3900000000000003E-2</v>
      </c>
      <c r="O10">
        <v>4.48E-2</v>
      </c>
      <c r="P10">
        <v>3.8490000000000003E-2</v>
      </c>
      <c r="Q10">
        <v>4.725E-2</v>
      </c>
    </row>
    <row r="11" spans="1:17" x14ac:dyDescent="0.25">
      <c r="A11" t="s">
        <v>52</v>
      </c>
      <c r="B11">
        <v>45</v>
      </c>
      <c r="C11">
        <v>3.177E-2</v>
      </c>
      <c r="D11">
        <v>4.9889999999999997E-2</v>
      </c>
      <c r="E11">
        <v>4.9939999999999998E-2</v>
      </c>
      <c r="F11">
        <v>4.6149999999999997E-2</v>
      </c>
      <c r="G11">
        <v>3.2039999999999999E-2</v>
      </c>
      <c r="H11">
        <v>4.7880000000000013E-2</v>
      </c>
      <c r="I11">
        <v>5.3999999999999999E-2</v>
      </c>
      <c r="J11">
        <v>3.2039999999999999E-2</v>
      </c>
      <c r="K11">
        <v>5.5329999999999997E-2</v>
      </c>
      <c r="L11">
        <v>5.3999999999999999E-2</v>
      </c>
      <c r="M11">
        <v>3.678E-2</v>
      </c>
      <c r="N11">
        <v>5.5100000000000003E-2</v>
      </c>
      <c r="O11">
        <v>4.6149999999999997E-2</v>
      </c>
      <c r="P11">
        <v>3.678E-2</v>
      </c>
      <c r="Q11">
        <v>4.7210000000000002E-2</v>
      </c>
    </row>
    <row r="12" spans="1:17" x14ac:dyDescent="0.25">
      <c r="A12" t="s">
        <v>53</v>
      </c>
      <c r="B12">
        <v>50</v>
      </c>
      <c r="C12">
        <v>2.7689999999999999E-2</v>
      </c>
      <c r="D12">
        <v>5.6550000000000003E-2</v>
      </c>
      <c r="E12">
        <v>5.6680000000000001E-2</v>
      </c>
      <c r="F12">
        <v>5.2209999999999999E-2</v>
      </c>
      <c r="G12">
        <v>2.9839999999999998E-2</v>
      </c>
      <c r="H12">
        <v>5.4100000000000002E-2</v>
      </c>
      <c r="I12">
        <v>6.1100000000000002E-2</v>
      </c>
      <c r="J12">
        <v>2.9839999999999998E-2</v>
      </c>
      <c r="K12">
        <v>6.2729999999999994E-2</v>
      </c>
      <c r="L12">
        <v>6.1100000000000002E-2</v>
      </c>
      <c r="M12">
        <v>3.1719999999999998E-2</v>
      </c>
      <c r="N12">
        <v>6.164E-2</v>
      </c>
      <c r="O12">
        <v>5.2209999999999999E-2</v>
      </c>
      <c r="P12">
        <v>3.1719999999999998E-2</v>
      </c>
      <c r="Q12">
        <v>5.2490000000000002E-2</v>
      </c>
    </row>
    <row r="13" spans="1:17" x14ac:dyDescent="0.25">
      <c r="A13" t="s">
        <v>54</v>
      </c>
      <c r="B13">
        <v>55</v>
      </c>
      <c r="C13">
        <v>2.699E-2</v>
      </c>
      <c r="D13">
        <v>5.917E-2</v>
      </c>
      <c r="E13">
        <v>5.9200000000000003E-2</v>
      </c>
      <c r="F13">
        <v>5.4469999999999998E-2</v>
      </c>
      <c r="G13">
        <v>2.869E-2</v>
      </c>
      <c r="H13">
        <v>5.6000000000000001E-2</v>
      </c>
      <c r="I13">
        <v>6.404E-2</v>
      </c>
      <c r="J13">
        <v>2.869E-2</v>
      </c>
      <c r="K13">
        <v>6.5340000000000009E-2</v>
      </c>
      <c r="L13">
        <v>6.404E-2</v>
      </c>
      <c r="M13">
        <v>3.1949999999999999E-2</v>
      </c>
      <c r="N13">
        <v>6.4899999999999999E-2</v>
      </c>
      <c r="O13">
        <v>5.4469999999999998E-2</v>
      </c>
      <c r="P13">
        <v>3.1949999999999999E-2</v>
      </c>
      <c r="Q13">
        <v>5.5049999999999988E-2</v>
      </c>
    </row>
    <row r="14" spans="1:17" x14ac:dyDescent="0.25">
      <c r="A14" t="s">
        <v>55</v>
      </c>
      <c r="B14">
        <v>60</v>
      </c>
      <c r="C14">
        <v>2.8320000000000001E-2</v>
      </c>
      <c r="D14">
        <v>6.522E-2</v>
      </c>
      <c r="E14">
        <v>6.5239999999999992E-2</v>
      </c>
      <c r="F14">
        <v>5.9979999999999999E-2</v>
      </c>
      <c r="G14">
        <v>2.988E-2</v>
      </c>
      <c r="H14">
        <v>6.157E-2</v>
      </c>
      <c r="I14">
        <v>7.0550000000000002E-2</v>
      </c>
      <c r="J14">
        <v>2.988E-2</v>
      </c>
      <c r="K14">
        <v>7.1859999999999993E-2</v>
      </c>
      <c r="L14">
        <v>7.0550000000000002E-2</v>
      </c>
      <c r="M14">
        <v>3.3619999999999997E-2</v>
      </c>
      <c r="N14">
        <v>7.1510000000000004E-2</v>
      </c>
      <c r="O14">
        <v>5.9979999999999999E-2</v>
      </c>
      <c r="P14">
        <v>3.3619999999999997E-2</v>
      </c>
      <c r="Q14">
        <v>6.0699999999999997E-2</v>
      </c>
    </row>
    <row r="15" spans="1:17" x14ac:dyDescent="0.25">
      <c r="A15" t="s">
        <v>56</v>
      </c>
      <c r="B15">
        <v>65</v>
      </c>
      <c r="C15">
        <v>2.6579999999999999E-2</v>
      </c>
      <c r="D15">
        <v>6.4890000000000003E-2</v>
      </c>
      <c r="E15">
        <v>6.4939999999999998E-2</v>
      </c>
      <c r="F15">
        <v>5.9769999999999997E-2</v>
      </c>
      <c r="G15">
        <v>2.9850000000000002E-2</v>
      </c>
      <c r="H15">
        <v>6.1439999999999988E-2</v>
      </c>
      <c r="I15">
        <v>7.0150000000000004E-2</v>
      </c>
      <c r="J15">
        <v>2.9850000000000002E-2</v>
      </c>
      <c r="K15">
        <v>7.1669999999999998E-2</v>
      </c>
      <c r="L15">
        <v>7.0150000000000004E-2</v>
      </c>
      <c r="M15">
        <v>3.0939999999999999E-2</v>
      </c>
      <c r="N15">
        <v>7.0870000000000002E-2</v>
      </c>
      <c r="O15">
        <v>5.9769999999999997E-2</v>
      </c>
      <c r="P15">
        <v>3.0939999999999999E-2</v>
      </c>
      <c r="Q15">
        <v>6.0290000000000003E-2</v>
      </c>
    </row>
    <row r="16" spans="1:17" x14ac:dyDescent="0.25">
      <c r="A16" t="s">
        <v>57</v>
      </c>
      <c r="B16">
        <v>70</v>
      </c>
      <c r="C16">
        <v>2.7050000000000001E-2</v>
      </c>
      <c r="D16">
        <v>6.0859999999999997E-2</v>
      </c>
      <c r="E16">
        <v>6.089E-2</v>
      </c>
      <c r="F16">
        <v>5.6079999999999998E-2</v>
      </c>
      <c r="G16">
        <v>2.8889999999999999E-2</v>
      </c>
      <c r="H16">
        <v>5.7529999999999998E-2</v>
      </c>
      <c r="I16">
        <v>6.5799999999999997E-2</v>
      </c>
      <c r="J16">
        <v>2.8889999999999999E-2</v>
      </c>
      <c r="K16">
        <v>6.7049999999999998E-2</v>
      </c>
      <c r="L16">
        <v>6.5799999999999997E-2</v>
      </c>
      <c r="M16">
        <v>3.2000000000000001E-2</v>
      </c>
      <c r="N16">
        <v>6.6670000000000007E-2</v>
      </c>
      <c r="O16">
        <v>5.6079999999999998E-2</v>
      </c>
      <c r="P16">
        <v>3.2000000000000001E-2</v>
      </c>
      <c r="Q16">
        <v>5.6680000000000001E-2</v>
      </c>
    </row>
    <row r="17" spans="1:17" x14ac:dyDescent="0.25">
      <c r="A17" t="s">
        <v>58</v>
      </c>
      <c r="B17">
        <v>75</v>
      </c>
      <c r="C17">
        <v>2.9239999999999999E-2</v>
      </c>
      <c r="D17">
        <v>7.51E-2</v>
      </c>
      <c r="E17">
        <v>7.5150000000000008E-2</v>
      </c>
      <c r="F17">
        <v>6.9159999999999999E-2</v>
      </c>
      <c r="G17">
        <v>3.2399999999999998E-2</v>
      </c>
      <c r="H17">
        <v>7.0999999999999994E-2</v>
      </c>
      <c r="I17">
        <v>8.1140000000000004E-2</v>
      </c>
      <c r="J17">
        <v>3.2399999999999998E-2</v>
      </c>
      <c r="K17">
        <v>8.2750000000000004E-2</v>
      </c>
      <c r="L17">
        <v>8.1140000000000004E-2</v>
      </c>
      <c r="M17">
        <v>3.4660000000000003E-2</v>
      </c>
      <c r="N17">
        <v>8.201E-2</v>
      </c>
      <c r="O17">
        <v>6.9159999999999999E-2</v>
      </c>
      <c r="P17">
        <v>3.4660000000000003E-2</v>
      </c>
      <c r="Q17">
        <v>6.9819999999999993E-2</v>
      </c>
    </row>
    <row r="18" spans="1:17" x14ac:dyDescent="0.25">
      <c r="A18" t="s">
        <v>59</v>
      </c>
      <c r="B18">
        <v>80</v>
      </c>
      <c r="C18">
        <v>3.3660000000000002E-2</v>
      </c>
      <c r="D18">
        <v>7.9430000000000001E-2</v>
      </c>
      <c r="E18">
        <v>7.9489999999999991E-2</v>
      </c>
      <c r="F18">
        <v>7.3249999999999996E-2</v>
      </c>
      <c r="G18">
        <v>3.6150000000000002E-2</v>
      </c>
      <c r="H18">
        <v>7.528E-2</v>
      </c>
      <c r="I18">
        <v>8.5720000000000005E-2</v>
      </c>
      <c r="J18">
        <v>3.6150000000000002E-2</v>
      </c>
      <c r="K18">
        <v>8.7419999999999998E-2</v>
      </c>
      <c r="L18">
        <v>8.5720000000000005E-2</v>
      </c>
      <c r="M18">
        <v>3.9399999999999998E-2</v>
      </c>
      <c r="N18">
        <v>8.6609999999999993E-2</v>
      </c>
      <c r="O18">
        <v>7.3249999999999996E-2</v>
      </c>
      <c r="P18">
        <v>3.9399999999999998E-2</v>
      </c>
      <c r="Q18">
        <v>7.3880000000000001E-2</v>
      </c>
    </row>
    <row r="19" spans="1:17" x14ac:dyDescent="0.25">
      <c r="A19" t="s">
        <v>60</v>
      </c>
      <c r="B19">
        <v>85</v>
      </c>
      <c r="C19">
        <v>3.6679999999999997E-2</v>
      </c>
      <c r="D19">
        <v>8.1009999999999999E-2</v>
      </c>
      <c r="E19">
        <v>8.1079999999999999E-2</v>
      </c>
      <c r="F19">
        <v>7.4760000000000007E-2</v>
      </c>
      <c r="G19">
        <v>3.9289999999999999E-2</v>
      </c>
      <c r="H19">
        <v>7.6810000000000003E-2</v>
      </c>
      <c r="I19">
        <v>8.7459999999999996E-2</v>
      </c>
      <c r="J19">
        <v>3.9289999999999999E-2</v>
      </c>
      <c r="K19">
        <v>8.9230000000000004E-2</v>
      </c>
      <c r="L19">
        <v>8.7459999999999996E-2</v>
      </c>
      <c r="M19">
        <v>4.2610000000000002E-2</v>
      </c>
      <c r="N19">
        <v>8.8439999999999991E-2</v>
      </c>
      <c r="O19">
        <v>7.4760000000000007E-2</v>
      </c>
      <c r="P19">
        <v>4.2610000000000002E-2</v>
      </c>
      <c r="Q19">
        <v>7.5409999999999991E-2</v>
      </c>
    </row>
    <row r="20" spans="1:17" x14ac:dyDescent="0.25">
      <c r="A20" t="s">
        <v>61</v>
      </c>
      <c r="B20">
        <v>90</v>
      </c>
      <c r="C20">
        <v>3.7580000000000002E-2</v>
      </c>
      <c r="D20">
        <v>8.4610000000000005E-2</v>
      </c>
      <c r="E20">
        <v>8.4620000000000001E-2</v>
      </c>
      <c r="F20">
        <v>7.8200000000000006E-2</v>
      </c>
      <c r="G20">
        <v>3.9810000000000012E-2</v>
      </c>
      <c r="H20">
        <v>7.9930000000000001E-2</v>
      </c>
      <c r="I20">
        <v>9.126999999999999E-2</v>
      </c>
      <c r="J20">
        <v>3.9810000000000012E-2</v>
      </c>
      <c r="K20">
        <v>9.2790000000000011E-2</v>
      </c>
      <c r="L20">
        <v>9.126999999999999E-2</v>
      </c>
      <c r="M20">
        <v>4.4650000000000002E-2</v>
      </c>
      <c r="N20">
        <v>9.2499999999999999E-2</v>
      </c>
      <c r="O20">
        <v>7.8200000000000006E-2</v>
      </c>
      <c r="P20">
        <v>4.4650000000000002E-2</v>
      </c>
      <c r="Q20">
        <v>7.9010000000000011E-2</v>
      </c>
    </row>
    <row r="21" spans="1:17" x14ac:dyDescent="0.25">
      <c r="C21" s="2"/>
      <c r="D21" s="2"/>
      <c r="E21" s="2"/>
    </row>
    <row r="22" spans="1:17" x14ac:dyDescent="0.25">
      <c r="A22" s="17" t="s">
        <v>37</v>
      </c>
      <c r="B22" s="17" t="s">
        <v>38</v>
      </c>
      <c r="C22" s="17" t="s">
        <v>39</v>
      </c>
    </row>
    <row r="23" spans="1:17" x14ac:dyDescent="0.25">
      <c r="A23">
        <v>6.9879999999999998E-2</v>
      </c>
      <c r="B23">
        <v>8.7139999999999995E-2</v>
      </c>
      <c r="C23">
        <v>9.1069999999999998E-2</v>
      </c>
    </row>
    <row r="24" spans="1:17" x14ac:dyDescent="0.25">
      <c r="A24">
        <v>6.9889999999999994E-2</v>
      </c>
      <c r="B24">
        <v>7.3819999999999997E-2</v>
      </c>
      <c r="C24">
        <v>8.131999999999999E-2</v>
      </c>
    </row>
    <row r="25" spans="1:17" x14ac:dyDescent="0.25">
      <c r="A25">
        <v>7.1169999999999997E-2</v>
      </c>
      <c r="B25">
        <v>9.0029999999999999E-2</v>
      </c>
      <c r="C25">
        <v>9.3310000000000004E-2</v>
      </c>
    </row>
    <row r="26" spans="1:17" x14ac:dyDescent="0.25">
      <c r="A26">
        <v>6.7080000000000001E-2</v>
      </c>
      <c r="B26">
        <v>7.3319999999999996E-2</v>
      </c>
      <c r="C26">
        <v>7.9489999999999991E-2</v>
      </c>
    </row>
    <row r="27" spans="1:17" x14ac:dyDescent="0.25">
      <c r="A27">
        <v>6.2869999999999995E-2</v>
      </c>
      <c r="B27">
        <v>7.887000000000001E-2</v>
      </c>
      <c r="C27">
        <v>8.1220000000000001E-2</v>
      </c>
    </row>
    <row r="28" spans="1:17" x14ac:dyDescent="0.25">
      <c r="A28">
        <v>5.7540000000000001E-2</v>
      </c>
      <c r="B28">
        <v>6.4899999999999999E-2</v>
      </c>
      <c r="C28">
        <v>6.9379999999999997E-2</v>
      </c>
    </row>
    <row r="29" spans="1:17" x14ac:dyDescent="0.25">
      <c r="A29">
        <v>5.2139999999999999E-2</v>
      </c>
      <c r="B29">
        <v>6.2270000000000013E-2</v>
      </c>
      <c r="C29">
        <v>6.5769999999999995E-2</v>
      </c>
    </row>
    <row r="30" spans="1:17" x14ac:dyDescent="0.25">
      <c r="A30">
        <v>3.9409999999999987E-2</v>
      </c>
      <c r="B30">
        <v>5.6509999999999998E-2</v>
      </c>
      <c r="C30">
        <v>5.808E-2</v>
      </c>
    </row>
    <row r="31" spans="1:17" x14ac:dyDescent="0.25">
      <c r="A31">
        <v>3.8490000000000003E-2</v>
      </c>
      <c r="B31">
        <v>5.2470000000000003E-2</v>
      </c>
      <c r="C31">
        <v>5.3900000000000003E-2</v>
      </c>
    </row>
    <row r="32" spans="1:17" x14ac:dyDescent="0.25">
      <c r="A32">
        <v>3.678E-2</v>
      </c>
      <c r="B32">
        <v>5.3999999999999999E-2</v>
      </c>
      <c r="C32">
        <v>5.5100000000000003E-2</v>
      </c>
    </row>
    <row r="33" spans="1:16" x14ac:dyDescent="0.25">
      <c r="A33">
        <v>3.1719999999999998E-2</v>
      </c>
      <c r="B33">
        <v>6.1100000000000002E-2</v>
      </c>
      <c r="C33">
        <v>6.164E-2</v>
      </c>
    </row>
    <row r="34" spans="1:16" x14ac:dyDescent="0.25">
      <c r="A34">
        <v>3.1949999999999999E-2</v>
      </c>
      <c r="B34">
        <v>6.404E-2</v>
      </c>
      <c r="C34">
        <v>6.4899999999999999E-2</v>
      </c>
    </row>
    <row r="35" spans="1:16" x14ac:dyDescent="0.25">
      <c r="A35">
        <v>3.3619999999999997E-2</v>
      </c>
      <c r="B35">
        <v>7.0550000000000002E-2</v>
      </c>
      <c r="C35">
        <v>7.1510000000000004E-2</v>
      </c>
    </row>
    <row r="36" spans="1:16" x14ac:dyDescent="0.25">
      <c r="A36">
        <v>3.0939999999999999E-2</v>
      </c>
      <c r="B36">
        <v>7.0150000000000004E-2</v>
      </c>
      <c r="C36">
        <v>7.0870000000000002E-2</v>
      </c>
    </row>
    <row r="37" spans="1:16" x14ac:dyDescent="0.25">
      <c r="A37">
        <v>3.2000000000000001E-2</v>
      </c>
      <c r="B37">
        <v>6.5799999999999997E-2</v>
      </c>
      <c r="C37">
        <v>6.6670000000000007E-2</v>
      </c>
    </row>
    <row r="38" spans="1:16" x14ac:dyDescent="0.25">
      <c r="A38">
        <v>3.4660000000000003E-2</v>
      </c>
      <c r="B38">
        <v>8.1140000000000004E-2</v>
      </c>
      <c r="C38">
        <v>8.201E-2</v>
      </c>
    </row>
    <row r="39" spans="1:16" x14ac:dyDescent="0.25">
      <c r="A39">
        <v>3.9399999999999998E-2</v>
      </c>
      <c r="B39">
        <v>8.5720000000000005E-2</v>
      </c>
      <c r="C39">
        <v>8.6609999999999993E-2</v>
      </c>
    </row>
    <row r="40" spans="1:16" x14ac:dyDescent="0.25">
      <c r="A40">
        <v>4.2610000000000002E-2</v>
      </c>
      <c r="B40">
        <v>8.7459999999999996E-2</v>
      </c>
      <c r="C40">
        <v>8.8439999999999991E-2</v>
      </c>
    </row>
    <row r="41" spans="1:16" x14ac:dyDescent="0.25">
      <c r="A41">
        <v>4.4650000000000002E-2</v>
      </c>
      <c r="B41">
        <v>9.126999999999999E-2</v>
      </c>
      <c r="C41">
        <v>9.2499999999999999E-2</v>
      </c>
    </row>
    <row r="42" spans="1:16" x14ac:dyDescent="0.25">
      <c r="A42" s="2"/>
      <c r="B42" s="2">
        <f>(C41-C20)/C20</f>
        <v>1.4614156466205426</v>
      </c>
      <c r="C42" s="2">
        <f>(C41-A41)/A41</f>
        <v>1.0716685330347142</v>
      </c>
    </row>
    <row r="45" spans="1:16" x14ac:dyDescent="0.25">
      <c r="C45" t="s">
        <v>27</v>
      </c>
      <c r="O45" t="s">
        <v>27</v>
      </c>
    </row>
    <row r="46" spans="1:16" x14ac:dyDescent="0.25">
      <c r="C46">
        <f t="shared" ref="C46:C64" si="0">(C2-C23)/C23</f>
        <v>-0.34852311408806408</v>
      </c>
      <c r="D46">
        <f t="shared" ref="D46:D64" si="1">(D2-C23)/C23</f>
        <v>-0.11716262215877896</v>
      </c>
      <c r="O46">
        <f>(A23-$C23)/$C23</f>
        <v>-0.2326781596574064</v>
      </c>
      <c r="P46">
        <f>(B23-$C23)/$C23</f>
        <v>-4.3153618095970167E-2</v>
      </c>
    </row>
    <row r="47" spans="1:16" x14ac:dyDescent="0.25">
      <c r="C47">
        <f t="shared" si="0"/>
        <v>-0.25725528775209039</v>
      </c>
      <c r="D47">
        <f t="shared" si="1"/>
        <v>-0.16293654697491392</v>
      </c>
      <c r="O47">
        <f t="shared" ref="O47:P62" si="2">(A24-$C24)/$C24</f>
        <v>-0.14055582882439741</v>
      </c>
      <c r="P47">
        <f t="shared" si="2"/>
        <v>-9.222823413674365E-2</v>
      </c>
    </row>
    <row r="48" spans="1:16" x14ac:dyDescent="0.25">
      <c r="C48">
        <f t="shared" si="0"/>
        <v>-0.3479798521058835</v>
      </c>
      <c r="D48">
        <f t="shared" si="1"/>
        <v>-0.10738398885435646</v>
      </c>
      <c r="O48">
        <f t="shared" si="2"/>
        <v>-0.23727360411531462</v>
      </c>
      <c r="P48">
        <f t="shared" si="2"/>
        <v>-3.5151645054120724E-2</v>
      </c>
    </row>
    <row r="49" spans="3:16" x14ac:dyDescent="0.25">
      <c r="C49">
        <f t="shared" si="0"/>
        <v>-0.26695181783872174</v>
      </c>
      <c r="D49">
        <f t="shared" si="1"/>
        <v>-0.14806893948924379</v>
      </c>
      <c r="O49">
        <f t="shared" si="2"/>
        <v>-0.15612026670021376</v>
      </c>
      <c r="P49">
        <f t="shared" si="2"/>
        <v>-7.7619826393256958E-2</v>
      </c>
    </row>
    <row r="50" spans="3:16" x14ac:dyDescent="0.25">
      <c r="C50">
        <f t="shared" si="0"/>
        <v>-0.32639743905442009</v>
      </c>
      <c r="D50">
        <f t="shared" si="1"/>
        <v>-0.10342280226545192</v>
      </c>
      <c r="O50">
        <f t="shared" si="2"/>
        <v>-0.22592957399655264</v>
      </c>
      <c r="P50">
        <f t="shared" si="2"/>
        <v>-2.8933760157596539E-2</v>
      </c>
    </row>
    <row r="51" spans="3:16" x14ac:dyDescent="0.25">
      <c r="C51">
        <f t="shared" si="0"/>
        <v>-0.28351109829922166</v>
      </c>
      <c r="D51">
        <f t="shared" si="1"/>
        <v>-0.13649466705102334</v>
      </c>
      <c r="O51">
        <f t="shared" si="2"/>
        <v>-0.17065436725281055</v>
      </c>
      <c r="P51">
        <f t="shared" si="2"/>
        <v>-6.457192274430669E-2</v>
      </c>
    </row>
    <row r="52" spans="3:16" x14ac:dyDescent="0.25">
      <c r="C52">
        <f t="shared" si="0"/>
        <v>-0.32111905123916673</v>
      </c>
      <c r="D52">
        <f t="shared" si="1"/>
        <v>-0.12695757944351524</v>
      </c>
      <c r="O52">
        <f t="shared" si="2"/>
        <v>-0.20723734225330695</v>
      </c>
      <c r="P52">
        <f t="shared" si="2"/>
        <v>-5.321575186255105E-2</v>
      </c>
    </row>
    <row r="53" spans="3:16" x14ac:dyDescent="0.25">
      <c r="C53">
        <f t="shared" si="0"/>
        <v>-0.41563360881542705</v>
      </c>
      <c r="D53">
        <f t="shared" si="1"/>
        <v>-0.10192837465564741</v>
      </c>
      <c r="O53">
        <f t="shared" si="2"/>
        <v>-0.32145316804407736</v>
      </c>
      <c r="P53">
        <f t="shared" si="2"/>
        <v>-2.7031680440771384E-2</v>
      </c>
    </row>
    <row r="54" spans="3:16" x14ac:dyDescent="0.25">
      <c r="C54">
        <f t="shared" si="0"/>
        <v>-0.38311688311688313</v>
      </c>
      <c r="D54">
        <f t="shared" si="1"/>
        <v>-0.10092764378478664</v>
      </c>
      <c r="O54">
        <f t="shared" si="2"/>
        <v>-0.28589981447124302</v>
      </c>
      <c r="P54">
        <f t="shared" si="2"/>
        <v>-2.6530612244897972E-2</v>
      </c>
    </row>
    <row r="55" spans="3:16" x14ac:dyDescent="0.25">
      <c r="C55">
        <f t="shared" si="0"/>
        <v>-0.42341197822141563</v>
      </c>
      <c r="D55">
        <f t="shared" si="1"/>
        <v>-9.4555353901996472E-2</v>
      </c>
      <c r="O55">
        <f t="shared" si="2"/>
        <v>-0.33248638838475503</v>
      </c>
      <c r="P55">
        <f t="shared" si="2"/>
        <v>-1.9963702359346708E-2</v>
      </c>
    </row>
    <row r="56" spans="3:16" x14ac:dyDescent="0.25">
      <c r="C56">
        <f t="shared" si="0"/>
        <v>-0.55077871512005194</v>
      </c>
      <c r="D56">
        <f t="shared" si="1"/>
        <v>-8.2576249188838366E-2</v>
      </c>
      <c r="O56">
        <f t="shared" si="2"/>
        <v>-0.48539909149902666</v>
      </c>
      <c r="P56">
        <f t="shared" si="2"/>
        <v>-8.7605451005840166E-3</v>
      </c>
    </row>
    <row r="57" spans="3:16" x14ac:dyDescent="0.25">
      <c r="C57">
        <f t="shared" si="0"/>
        <v>-0.58412942989214178</v>
      </c>
      <c r="D57">
        <f t="shared" si="1"/>
        <v>-8.8289676425269636E-2</v>
      </c>
      <c r="O57">
        <f t="shared" si="2"/>
        <v>-0.50770416024653309</v>
      </c>
      <c r="P57">
        <f t="shared" si="2"/>
        <v>-1.3251155624036975E-2</v>
      </c>
    </row>
    <row r="58" spans="3:16" x14ac:dyDescent="0.25">
      <c r="C58">
        <f t="shared" si="0"/>
        <v>-0.60397147252132577</v>
      </c>
      <c r="D58">
        <f t="shared" si="1"/>
        <v>-8.7959725912459846E-2</v>
      </c>
      <c r="O58">
        <f t="shared" si="2"/>
        <v>-0.52985596420081116</v>
      </c>
      <c r="P58">
        <f t="shared" si="2"/>
        <v>-1.3424695846734757E-2</v>
      </c>
    </row>
    <row r="59" spans="3:16" x14ac:dyDescent="0.25">
      <c r="C59">
        <f t="shared" si="0"/>
        <v>-0.62494708621419504</v>
      </c>
      <c r="D59">
        <f t="shared" si="1"/>
        <v>-8.4379850430365444E-2</v>
      </c>
      <c r="O59">
        <f t="shared" si="2"/>
        <v>-0.56342599125158754</v>
      </c>
      <c r="P59">
        <f t="shared" si="2"/>
        <v>-1.0159446874559028E-2</v>
      </c>
    </row>
    <row r="60" spans="3:16" x14ac:dyDescent="0.25">
      <c r="C60">
        <f t="shared" si="0"/>
        <v>-0.5942702864856757</v>
      </c>
      <c r="D60">
        <f t="shared" si="1"/>
        <v>-8.7145642717864236E-2</v>
      </c>
      <c r="O60">
        <f t="shared" si="2"/>
        <v>-0.52002399880006001</v>
      </c>
      <c r="P60">
        <f t="shared" si="2"/>
        <v>-1.3049347532623512E-2</v>
      </c>
    </row>
    <row r="61" spans="3:16" x14ac:dyDescent="0.25">
      <c r="C61">
        <f t="shared" si="0"/>
        <v>-0.64345811486404092</v>
      </c>
      <c r="D61">
        <f t="shared" si="1"/>
        <v>-8.4258017314961589E-2</v>
      </c>
      <c r="O61">
        <f t="shared" si="2"/>
        <v>-0.57736861358370928</v>
      </c>
      <c r="P61">
        <f t="shared" si="2"/>
        <v>-1.0608462382636212E-2</v>
      </c>
    </row>
    <row r="62" spans="3:16" x14ac:dyDescent="0.25">
      <c r="C62">
        <f t="shared" si="0"/>
        <v>-0.61136127467959811</v>
      </c>
      <c r="D62">
        <f t="shared" si="1"/>
        <v>-8.2900357926336363E-2</v>
      </c>
      <c r="O62">
        <f t="shared" si="2"/>
        <v>-0.54508717238194204</v>
      </c>
      <c r="P62">
        <f t="shared" si="2"/>
        <v>-1.0275949659392542E-2</v>
      </c>
    </row>
    <row r="63" spans="3:16" x14ac:dyDescent="0.25">
      <c r="C63">
        <f t="shared" si="0"/>
        <v>-0.58525554047942108</v>
      </c>
      <c r="D63">
        <f t="shared" si="1"/>
        <v>-8.4011759384893636E-2</v>
      </c>
      <c r="O63">
        <f t="shared" ref="O63:P64" si="3">(A40-$C40)/$C40</f>
        <v>-0.51820443238353675</v>
      </c>
      <c r="P63">
        <f t="shared" si="3"/>
        <v>-1.1080958842152815E-2</v>
      </c>
    </row>
    <row r="64" spans="3:16" x14ac:dyDescent="0.25">
      <c r="C64">
        <f t="shared" si="0"/>
        <v>-0.5937297297297297</v>
      </c>
      <c r="D64">
        <f t="shared" si="1"/>
        <v>-8.5297297297297237E-2</v>
      </c>
      <c r="O64">
        <f t="shared" si="3"/>
        <v>-0.51729729729729723</v>
      </c>
      <c r="P64">
        <f t="shared" si="3"/>
        <v>-1.3297297297297393E-2</v>
      </c>
    </row>
  </sheetData>
  <phoneticPr fontId="1" type="noConversion"/>
  <pageMargins left="0.75" right="0.75" top="1" bottom="1" header="0.5" footer="0.5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64"/>
  <sheetViews>
    <sheetView topLeftCell="A31" workbookViewId="0">
      <selection activeCell="R60" sqref="R60"/>
    </sheetView>
  </sheetViews>
  <sheetFormatPr defaultRowHeight="14.4" x14ac:dyDescent="0.25"/>
  <sheetData>
    <row r="1" spans="1:17" x14ac:dyDescent="0.25">
      <c r="A1" s="17" t="s">
        <v>0</v>
      </c>
      <c r="B1" s="17" t="s">
        <v>1</v>
      </c>
      <c r="C1" s="17" t="s">
        <v>62</v>
      </c>
      <c r="D1" s="17" t="s">
        <v>63</v>
      </c>
      <c r="E1" s="17" t="s">
        <v>64</v>
      </c>
      <c r="F1" s="17" t="s">
        <v>65</v>
      </c>
      <c r="G1" s="17" t="s">
        <v>66</v>
      </c>
      <c r="H1" s="17" t="s">
        <v>67</v>
      </c>
      <c r="I1" s="17" t="s">
        <v>68</v>
      </c>
      <c r="J1" s="17" t="s">
        <v>69</v>
      </c>
      <c r="K1" s="17" t="s">
        <v>70</v>
      </c>
      <c r="L1" s="17" t="s">
        <v>37</v>
      </c>
      <c r="M1" s="17" t="s">
        <v>38</v>
      </c>
      <c r="N1" s="17" t="s">
        <v>39</v>
      </c>
      <c r="O1" s="17" t="s">
        <v>71</v>
      </c>
      <c r="P1" s="17" t="s">
        <v>72</v>
      </c>
      <c r="Q1" s="17" t="s">
        <v>73</v>
      </c>
    </row>
    <row r="2" spans="1:17" x14ac:dyDescent="0.25">
      <c r="A2" t="s">
        <v>74</v>
      </c>
      <c r="B2">
        <v>0</v>
      </c>
      <c r="C2">
        <v>4.768E-2</v>
      </c>
      <c r="D2">
        <v>6.2020000000000013E-2</v>
      </c>
      <c r="E2">
        <v>6.2579999999999997E-2</v>
      </c>
      <c r="F2">
        <v>4.8869999999999997E-2</v>
      </c>
      <c r="G2">
        <v>5.1650000000000001E-2</v>
      </c>
      <c r="H2">
        <v>5.688E-2</v>
      </c>
      <c r="I2">
        <v>4.8869999999999997E-2</v>
      </c>
      <c r="J2">
        <v>8.0260000000000012E-2</v>
      </c>
      <c r="K2">
        <v>8.0680000000000002E-2</v>
      </c>
      <c r="L2">
        <v>4.8039999999999999E-2</v>
      </c>
      <c r="M2">
        <v>5.1650000000000001E-2</v>
      </c>
      <c r="N2">
        <v>5.6419999999999998E-2</v>
      </c>
      <c r="O2">
        <v>4.8039999999999999E-2</v>
      </c>
      <c r="P2">
        <v>8.0260000000000012E-2</v>
      </c>
      <c r="Q2">
        <v>8.0590000000000009E-2</v>
      </c>
    </row>
    <row r="3" spans="1:17" x14ac:dyDescent="0.25">
      <c r="A3" t="s">
        <v>75</v>
      </c>
      <c r="B3">
        <v>5</v>
      </c>
      <c r="C3">
        <v>4.616E-2</v>
      </c>
      <c r="D3">
        <v>6.2280000000000002E-2</v>
      </c>
      <c r="E3">
        <v>6.2280000000000002E-2</v>
      </c>
      <c r="F3">
        <v>4.718E-2</v>
      </c>
      <c r="G3">
        <v>5.2420000000000001E-2</v>
      </c>
      <c r="H3">
        <v>5.6419999999999998E-2</v>
      </c>
      <c r="I3">
        <v>4.718E-2</v>
      </c>
      <c r="J3">
        <v>7.9150000000000012E-2</v>
      </c>
      <c r="K3">
        <v>7.9530000000000003E-2</v>
      </c>
      <c r="L3">
        <v>4.6510000000000003E-2</v>
      </c>
      <c r="M3">
        <v>5.2420000000000001E-2</v>
      </c>
      <c r="N3">
        <v>5.6060000000000013E-2</v>
      </c>
      <c r="O3">
        <v>4.6510000000000003E-2</v>
      </c>
      <c r="P3">
        <v>7.9150000000000012E-2</v>
      </c>
      <c r="Q3">
        <v>7.9439999999999997E-2</v>
      </c>
    </row>
    <row r="4" spans="1:17" x14ac:dyDescent="0.25">
      <c r="A4" t="s">
        <v>76</v>
      </c>
      <c r="B4">
        <v>10</v>
      </c>
      <c r="C4">
        <v>4.6210000000000001E-2</v>
      </c>
      <c r="D4">
        <v>5.808E-2</v>
      </c>
      <c r="E4">
        <v>5.9369999999999999E-2</v>
      </c>
      <c r="F4">
        <v>4.7120000000000002E-2</v>
      </c>
      <c r="G4">
        <v>4.9450000000000001E-2</v>
      </c>
      <c r="H4">
        <v>5.4640000000000001E-2</v>
      </c>
      <c r="I4">
        <v>4.7120000000000002E-2</v>
      </c>
      <c r="J4">
        <v>7.3849999999999999E-2</v>
      </c>
      <c r="K4">
        <v>7.399E-2</v>
      </c>
      <c r="L4">
        <v>4.6549999999999987E-2</v>
      </c>
      <c r="M4">
        <v>4.9450000000000001E-2</v>
      </c>
      <c r="N4">
        <v>5.4330000000000003E-2</v>
      </c>
      <c r="O4">
        <v>4.6549999999999987E-2</v>
      </c>
      <c r="P4">
        <v>7.3849999999999999E-2</v>
      </c>
      <c r="Q4">
        <v>7.443000000000001E-2</v>
      </c>
    </row>
    <row r="5" spans="1:17" x14ac:dyDescent="0.25">
      <c r="A5" t="s">
        <v>77</v>
      </c>
      <c r="B5">
        <v>15</v>
      </c>
      <c r="C5">
        <v>4.5249999999999999E-2</v>
      </c>
      <c r="D5">
        <v>6.1590000000000013E-2</v>
      </c>
      <c r="E5">
        <v>6.164E-2</v>
      </c>
      <c r="F5">
        <v>4.6199999999999998E-2</v>
      </c>
      <c r="G5">
        <v>5.1529999999999999E-2</v>
      </c>
      <c r="H5">
        <v>5.5350000000000003E-2</v>
      </c>
      <c r="I5">
        <v>4.6199999999999998E-2</v>
      </c>
      <c r="J5">
        <v>7.7959999999999988E-2</v>
      </c>
      <c r="K5">
        <v>7.8150000000000011E-2</v>
      </c>
      <c r="L5">
        <v>4.5539999999999997E-2</v>
      </c>
      <c r="M5">
        <v>5.1529999999999999E-2</v>
      </c>
      <c r="N5">
        <v>5.5010000000000003E-2</v>
      </c>
      <c r="O5">
        <v>4.5539999999999997E-2</v>
      </c>
      <c r="P5">
        <v>7.7959999999999988E-2</v>
      </c>
      <c r="Q5">
        <v>7.8400000000000011E-2</v>
      </c>
    </row>
    <row r="6" spans="1:17" x14ac:dyDescent="0.25">
      <c r="A6" t="s">
        <v>78</v>
      </c>
      <c r="B6">
        <v>20</v>
      </c>
      <c r="C6">
        <v>4.4200000000000003E-2</v>
      </c>
      <c r="D6">
        <v>5.9889999999999999E-2</v>
      </c>
      <c r="E6">
        <v>5.9929999999999997E-2</v>
      </c>
      <c r="F6">
        <v>4.5269999999999998E-2</v>
      </c>
      <c r="G6">
        <v>5.0439999999999999E-2</v>
      </c>
      <c r="H6">
        <v>5.4219999999999997E-2</v>
      </c>
      <c r="I6">
        <v>4.5269999999999998E-2</v>
      </c>
      <c r="J6">
        <v>7.6219999999999996E-2</v>
      </c>
      <c r="K6">
        <v>7.6469999999999996E-2</v>
      </c>
      <c r="L6">
        <v>4.4420000000000001E-2</v>
      </c>
      <c r="M6">
        <v>5.0439999999999999E-2</v>
      </c>
      <c r="N6">
        <v>5.3760000000000002E-2</v>
      </c>
      <c r="O6">
        <v>4.4420000000000001E-2</v>
      </c>
      <c r="P6">
        <v>7.6219999999999996E-2</v>
      </c>
      <c r="Q6">
        <v>7.664E-2</v>
      </c>
    </row>
    <row r="7" spans="1:17" x14ac:dyDescent="0.25">
      <c r="A7" t="s">
        <v>79</v>
      </c>
      <c r="B7">
        <v>25</v>
      </c>
      <c r="C7">
        <v>4.1020000000000001E-2</v>
      </c>
      <c r="D7">
        <v>4.9119999999999997E-2</v>
      </c>
      <c r="E7">
        <v>5.1189999999999999E-2</v>
      </c>
      <c r="F7">
        <v>4.199E-2</v>
      </c>
      <c r="G7">
        <v>4.0590000000000001E-2</v>
      </c>
      <c r="H7">
        <v>4.6719999999999998E-2</v>
      </c>
      <c r="I7">
        <v>4.199E-2</v>
      </c>
      <c r="J7">
        <v>6.4019999999999994E-2</v>
      </c>
      <c r="K7">
        <v>6.4430000000000001E-2</v>
      </c>
      <c r="L7">
        <v>4.1149999999999999E-2</v>
      </c>
      <c r="M7">
        <v>4.0590000000000001E-2</v>
      </c>
      <c r="N7">
        <v>4.6240000000000003E-2</v>
      </c>
      <c r="O7">
        <v>4.1149999999999999E-2</v>
      </c>
      <c r="P7">
        <v>6.4019999999999994E-2</v>
      </c>
      <c r="Q7">
        <v>6.4299999999999996E-2</v>
      </c>
    </row>
    <row r="8" spans="1:17" x14ac:dyDescent="0.25">
      <c r="A8" t="s">
        <v>80</v>
      </c>
      <c r="B8">
        <v>30</v>
      </c>
      <c r="C8">
        <v>3.7190000000000001E-2</v>
      </c>
      <c r="D8">
        <v>4.7100000000000003E-2</v>
      </c>
      <c r="E8">
        <v>4.8000000000000001E-2</v>
      </c>
      <c r="F8">
        <v>3.8020000000000012E-2</v>
      </c>
      <c r="G8">
        <v>3.9380000000000012E-2</v>
      </c>
      <c r="H8">
        <v>4.3790000000000003E-2</v>
      </c>
      <c r="I8">
        <v>3.8020000000000012E-2</v>
      </c>
      <c r="J8">
        <v>6.0339999999999998E-2</v>
      </c>
      <c r="K8">
        <v>6.0639999999999999E-2</v>
      </c>
      <c r="L8">
        <v>3.7350000000000001E-2</v>
      </c>
      <c r="M8">
        <v>3.9380000000000012E-2</v>
      </c>
      <c r="N8">
        <v>4.342E-2</v>
      </c>
      <c r="O8">
        <v>3.7350000000000001E-2</v>
      </c>
      <c r="P8">
        <v>6.0339999999999998E-2</v>
      </c>
      <c r="Q8">
        <v>6.062E-2</v>
      </c>
    </row>
    <row r="9" spans="1:17" x14ac:dyDescent="0.25">
      <c r="A9" t="s">
        <v>81</v>
      </c>
      <c r="B9">
        <v>35</v>
      </c>
      <c r="C9">
        <v>3.329E-2</v>
      </c>
      <c r="D9">
        <v>3.8700000000000012E-2</v>
      </c>
      <c r="E9">
        <v>4.0840000000000001E-2</v>
      </c>
      <c r="F9">
        <v>3.4049999999999997E-2</v>
      </c>
      <c r="G9">
        <v>3.3099999999999997E-2</v>
      </c>
      <c r="H9">
        <v>3.7990000000000003E-2</v>
      </c>
      <c r="I9">
        <v>3.4049999999999997E-2</v>
      </c>
      <c r="J9">
        <v>4.931E-2</v>
      </c>
      <c r="K9">
        <v>4.9660000000000003E-2</v>
      </c>
      <c r="L9">
        <v>3.3320000000000002E-2</v>
      </c>
      <c r="M9">
        <v>3.3099999999999997E-2</v>
      </c>
      <c r="N9">
        <v>3.7569999999999999E-2</v>
      </c>
      <c r="O9">
        <v>3.3320000000000002E-2</v>
      </c>
      <c r="P9">
        <v>4.931E-2</v>
      </c>
      <c r="Q9">
        <v>4.9529999999999998E-2</v>
      </c>
    </row>
    <row r="10" spans="1:17" x14ac:dyDescent="0.25">
      <c r="A10" t="s">
        <v>82</v>
      </c>
      <c r="B10">
        <v>40</v>
      </c>
      <c r="C10">
        <v>3.0089999999999999E-2</v>
      </c>
      <c r="D10">
        <v>4.3150000000000001E-2</v>
      </c>
      <c r="E10">
        <v>4.3150000000000001E-2</v>
      </c>
      <c r="F10">
        <v>3.0870000000000002E-2</v>
      </c>
      <c r="G10">
        <v>3.6409999999999998E-2</v>
      </c>
      <c r="H10">
        <v>3.8179999999999999E-2</v>
      </c>
      <c r="I10">
        <v>3.0870000000000002E-2</v>
      </c>
      <c r="J10">
        <v>5.5010000000000003E-2</v>
      </c>
      <c r="K10">
        <v>5.5210000000000002E-2</v>
      </c>
      <c r="L10">
        <v>3.0329999999999999E-2</v>
      </c>
      <c r="M10">
        <v>3.6409999999999998E-2</v>
      </c>
      <c r="N10">
        <v>3.7909999999999999E-2</v>
      </c>
      <c r="O10">
        <v>3.0329999999999999E-2</v>
      </c>
      <c r="P10">
        <v>5.5010000000000003E-2</v>
      </c>
      <c r="Q10">
        <v>5.525E-2</v>
      </c>
    </row>
    <row r="11" spans="1:17" x14ac:dyDescent="0.25">
      <c r="A11" t="s">
        <v>83</v>
      </c>
      <c r="B11">
        <v>45</v>
      </c>
      <c r="C11">
        <v>2.845E-2</v>
      </c>
      <c r="D11">
        <v>3.6380000000000003E-2</v>
      </c>
      <c r="E11">
        <v>3.6940000000000001E-2</v>
      </c>
      <c r="F11">
        <v>2.9049999999999999E-2</v>
      </c>
      <c r="G11">
        <v>3.1009999999999999E-2</v>
      </c>
      <c r="H11">
        <v>3.3989999999999999E-2</v>
      </c>
      <c r="I11">
        <v>2.9049999999999999E-2</v>
      </c>
      <c r="J11">
        <v>4.6330000000000003E-2</v>
      </c>
      <c r="K11">
        <v>4.641E-2</v>
      </c>
      <c r="L11">
        <v>2.8639999999999999E-2</v>
      </c>
      <c r="M11">
        <v>3.1009999999999999E-2</v>
      </c>
      <c r="N11">
        <v>3.3770000000000001E-2</v>
      </c>
      <c r="O11">
        <v>2.8639999999999999E-2</v>
      </c>
      <c r="P11">
        <v>4.6330000000000003E-2</v>
      </c>
      <c r="Q11">
        <v>4.675E-2</v>
      </c>
    </row>
    <row r="12" spans="1:17" x14ac:dyDescent="0.25">
      <c r="A12" t="s">
        <v>84</v>
      </c>
      <c r="B12">
        <v>50</v>
      </c>
      <c r="C12">
        <v>2.3949999999999999E-2</v>
      </c>
      <c r="D12">
        <v>3.7490000000000002E-2</v>
      </c>
      <c r="E12">
        <v>3.7509999999999988E-2</v>
      </c>
      <c r="F12">
        <v>2.4570000000000002E-2</v>
      </c>
      <c r="G12">
        <v>3.0949999999999998E-2</v>
      </c>
      <c r="H12">
        <v>3.1609999999999999E-2</v>
      </c>
      <c r="I12">
        <v>2.4570000000000002E-2</v>
      </c>
      <c r="J12">
        <v>4.7899999999999998E-2</v>
      </c>
      <c r="K12">
        <v>4.8009999999999997E-2</v>
      </c>
      <c r="L12">
        <v>2.4250000000000001E-2</v>
      </c>
      <c r="M12">
        <v>3.0949999999999998E-2</v>
      </c>
      <c r="N12">
        <v>3.1449999999999999E-2</v>
      </c>
      <c r="O12">
        <v>2.4250000000000001E-2</v>
      </c>
      <c r="P12">
        <v>4.7899999999999998E-2</v>
      </c>
      <c r="Q12">
        <v>4.8149999999999998E-2</v>
      </c>
    </row>
    <row r="13" spans="1:17" x14ac:dyDescent="0.25">
      <c r="A13" t="s">
        <v>85</v>
      </c>
      <c r="B13">
        <v>55</v>
      </c>
      <c r="C13">
        <v>2.3109999999999999E-2</v>
      </c>
      <c r="D13">
        <v>3.8109999999999998E-2</v>
      </c>
      <c r="E13">
        <v>3.8150000000000003E-2</v>
      </c>
      <c r="F13">
        <v>2.367E-2</v>
      </c>
      <c r="G13">
        <v>3.2140000000000002E-2</v>
      </c>
      <c r="H13">
        <v>3.2149999999999998E-2</v>
      </c>
      <c r="I13">
        <v>2.367E-2</v>
      </c>
      <c r="J13">
        <v>4.8500000000000001E-2</v>
      </c>
      <c r="K13">
        <v>4.8570000000000002E-2</v>
      </c>
      <c r="L13">
        <v>2.359E-2</v>
      </c>
      <c r="M13">
        <v>3.2140000000000002E-2</v>
      </c>
      <c r="N13">
        <v>3.2479999999999988E-2</v>
      </c>
      <c r="O13">
        <v>2.359E-2</v>
      </c>
      <c r="P13">
        <v>4.8500000000000001E-2</v>
      </c>
      <c r="Q13">
        <v>4.8800000000000003E-2</v>
      </c>
    </row>
    <row r="14" spans="1:17" x14ac:dyDescent="0.25">
      <c r="A14" t="s">
        <v>86</v>
      </c>
      <c r="B14">
        <v>60</v>
      </c>
      <c r="C14">
        <v>2.3300000000000001E-2</v>
      </c>
      <c r="D14">
        <v>4.3020000000000003E-2</v>
      </c>
      <c r="E14">
        <v>4.3029999999999999E-2</v>
      </c>
      <c r="F14">
        <v>2.3980000000000001E-2</v>
      </c>
      <c r="G14">
        <v>3.5929999999999997E-2</v>
      </c>
      <c r="H14">
        <v>3.5929999999999997E-2</v>
      </c>
      <c r="I14">
        <v>2.3980000000000001E-2</v>
      </c>
      <c r="J14">
        <v>5.4479999999999987E-2</v>
      </c>
      <c r="K14">
        <v>5.4590000000000007E-2</v>
      </c>
      <c r="L14">
        <v>2.3800000000000002E-2</v>
      </c>
      <c r="M14">
        <v>3.5929999999999997E-2</v>
      </c>
      <c r="N14">
        <v>3.6209999999999999E-2</v>
      </c>
      <c r="O14">
        <v>2.3800000000000002E-2</v>
      </c>
      <c r="P14">
        <v>5.4479999999999987E-2</v>
      </c>
      <c r="Q14">
        <v>5.4739999999999997E-2</v>
      </c>
    </row>
    <row r="15" spans="1:17" x14ac:dyDescent="0.25">
      <c r="A15" t="s">
        <v>87</v>
      </c>
      <c r="B15">
        <v>65</v>
      </c>
      <c r="C15">
        <v>2.4250000000000001E-2</v>
      </c>
      <c r="D15">
        <v>4.0680000000000001E-2</v>
      </c>
      <c r="E15">
        <v>4.0689999999999997E-2</v>
      </c>
      <c r="F15">
        <v>2.4899999999999999E-2</v>
      </c>
      <c r="G15">
        <v>3.3500000000000002E-2</v>
      </c>
      <c r="H15">
        <v>3.3500000000000002E-2</v>
      </c>
      <c r="I15">
        <v>2.4899999999999999E-2</v>
      </c>
      <c r="J15">
        <v>5.203E-2</v>
      </c>
      <c r="K15">
        <v>5.2139999999999999E-2</v>
      </c>
      <c r="L15">
        <v>2.4709999999999999E-2</v>
      </c>
      <c r="M15">
        <v>3.3500000000000002E-2</v>
      </c>
      <c r="N15">
        <v>3.3829999999999999E-2</v>
      </c>
      <c r="O15">
        <v>2.4709999999999999E-2</v>
      </c>
      <c r="P15">
        <v>5.203E-2</v>
      </c>
      <c r="Q15">
        <v>5.2260000000000001E-2</v>
      </c>
    </row>
    <row r="16" spans="1:17" x14ac:dyDescent="0.25">
      <c r="A16" t="s">
        <v>88</v>
      </c>
      <c r="B16">
        <v>70</v>
      </c>
      <c r="C16">
        <v>2.0820000000000002E-2</v>
      </c>
      <c r="D16">
        <v>4.1430000000000002E-2</v>
      </c>
      <c r="E16">
        <v>4.1450000000000001E-2</v>
      </c>
      <c r="F16">
        <v>2.1489999999999999E-2</v>
      </c>
      <c r="G16">
        <v>3.5049999999999998E-2</v>
      </c>
      <c r="H16">
        <v>3.5049999999999998E-2</v>
      </c>
      <c r="I16">
        <v>2.1489999999999999E-2</v>
      </c>
      <c r="J16">
        <v>5.2499999999999998E-2</v>
      </c>
      <c r="K16">
        <v>5.2589999999999998E-2</v>
      </c>
      <c r="L16">
        <v>2.1440000000000001E-2</v>
      </c>
      <c r="M16">
        <v>3.5049999999999998E-2</v>
      </c>
      <c r="N16">
        <v>3.5270000000000003E-2</v>
      </c>
      <c r="O16">
        <v>2.1440000000000001E-2</v>
      </c>
      <c r="P16">
        <v>5.2499999999999998E-2</v>
      </c>
      <c r="Q16">
        <v>5.2760000000000001E-2</v>
      </c>
    </row>
    <row r="17" spans="1:17" x14ac:dyDescent="0.25">
      <c r="A17" t="s">
        <v>89</v>
      </c>
      <c r="B17">
        <v>75</v>
      </c>
      <c r="C17">
        <v>2.785E-2</v>
      </c>
      <c r="D17">
        <v>4.8039999999999999E-2</v>
      </c>
      <c r="E17">
        <v>4.8039999999999999E-2</v>
      </c>
      <c r="F17">
        <v>2.8799999999999999E-2</v>
      </c>
      <c r="G17">
        <v>4.0849999999999997E-2</v>
      </c>
      <c r="H17">
        <v>4.0849999999999997E-2</v>
      </c>
      <c r="I17">
        <v>2.8799999999999999E-2</v>
      </c>
      <c r="J17">
        <v>6.1899999999999997E-2</v>
      </c>
      <c r="K17">
        <v>6.2100000000000002E-2</v>
      </c>
      <c r="L17">
        <v>2.8510000000000001E-2</v>
      </c>
      <c r="M17">
        <v>4.0849999999999997E-2</v>
      </c>
      <c r="N17">
        <v>4.1020000000000001E-2</v>
      </c>
      <c r="O17">
        <v>2.8510000000000001E-2</v>
      </c>
      <c r="P17">
        <v>6.1899999999999997E-2</v>
      </c>
      <c r="Q17">
        <v>6.2170000000000003E-2</v>
      </c>
    </row>
    <row r="18" spans="1:17" x14ac:dyDescent="0.25">
      <c r="A18" t="s">
        <v>90</v>
      </c>
      <c r="B18">
        <v>80</v>
      </c>
      <c r="C18">
        <v>2.6429999999999999E-2</v>
      </c>
      <c r="D18">
        <v>6.225E-2</v>
      </c>
      <c r="E18">
        <v>6.2260000000000003E-2</v>
      </c>
      <c r="F18">
        <v>2.76E-2</v>
      </c>
      <c r="G18">
        <v>5.1389999999999998E-2</v>
      </c>
      <c r="H18">
        <v>5.1389999999999998E-2</v>
      </c>
      <c r="I18">
        <v>2.76E-2</v>
      </c>
      <c r="J18">
        <v>8.020999999999999E-2</v>
      </c>
      <c r="K18">
        <v>8.0360000000000001E-2</v>
      </c>
      <c r="L18">
        <v>2.7699999999999999E-2</v>
      </c>
      <c r="M18">
        <v>5.1389999999999998E-2</v>
      </c>
      <c r="N18">
        <v>5.1679999999999997E-2</v>
      </c>
      <c r="O18">
        <v>2.7699999999999999E-2</v>
      </c>
      <c r="P18">
        <v>8.020999999999999E-2</v>
      </c>
      <c r="Q18">
        <v>8.0599999999999991E-2</v>
      </c>
    </row>
    <row r="19" spans="1:17" x14ac:dyDescent="0.25">
      <c r="A19" t="s">
        <v>91</v>
      </c>
      <c r="B19">
        <v>85</v>
      </c>
      <c r="C19">
        <v>2.6620000000000001E-2</v>
      </c>
      <c r="D19">
        <v>5.7779999999999998E-2</v>
      </c>
      <c r="E19">
        <v>5.7799999999999997E-2</v>
      </c>
      <c r="F19">
        <v>2.7900000000000001E-2</v>
      </c>
      <c r="G19">
        <v>4.9020000000000001E-2</v>
      </c>
      <c r="H19">
        <v>4.9020000000000001E-2</v>
      </c>
      <c r="I19">
        <v>2.7900000000000001E-2</v>
      </c>
      <c r="J19">
        <v>7.5379999999999989E-2</v>
      </c>
      <c r="K19">
        <v>7.5549999999999992E-2</v>
      </c>
      <c r="L19">
        <v>2.802E-2</v>
      </c>
      <c r="M19">
        <v>4.9020000000000001E-2</v>
      </c>
      <c r="N19">
        <v>4.9189999999999998E-2</v>
      </c>
      <c r="O19">
        <v>2.802E-2</v>
      </c>
      <c r="P19">
        <v>7.5379999999999989E-2</v>
      </c>
      <c r="Q19">
        <v>7.578E-2</v>
      </c>
    </row>
    <row r="20" spans="1:17" x14ac:dyDescent="0.25">
      <c r="A20" t="s">
        <v>92</v>
      </c>
      <c r="B20">
        <v>90</v>
      </c>
      <c r="C20">
        <v>2.8340000000000001E-2</v>
      </c>
      <c r="D20">
        <v>7.1569999999999995E-2</v>
      </c>
      <c r="E20">
        <v>7.1580000000000005E-2</v>
      </c>
      <c r="F20">
        <v>2.972E-2</v>
      </c>
      <c r="G20">
        <v>5.9929999999999997E-2</v>
      </c>
      <c r="H20">
        <v>5.9950000000000003E-2</v>
      </c>
      <c r="I20">
        <v>2.972E-2</v>
      </c>
      <c r="J20">
        <v>9.1569999999999999E-2</v>
      </c>
      <c r="K20">
        <v>9.176999999999999E-2</v>
      </c>
      <c r="L20">
        <v>2.9929999999999998E-2</v>
      </c>
      <c r="M20">
        <v>5.9929999999999997E-2</v>
      </c>
      <c r="N20">
        <v>6.0130000000000003E-2</v>
      </c>
      <c r="O20">
        <v>2.9929999999999998E-2</v>
      </c>
      <c r="P20">
        <v>9.1569999999999999E-2</v>
      </c>
      <c r="Q20">
        <v>9.1980000000000006E-2</v>
      </c>
    </row>
    <row r="22" spans="1:17" x14ac:dyDescent="0.25">
      <c r="A22" s="17" t="s">
        <v>71</v>
      </c>
      <c r="B22" s="17" t="s">
        <v>72</v>
      </c>
      <c r="C22" s="17" t="s">
        <v>73</v>
      </c>
    </row>
    <row r="23" spans="1:17" x14ac:dyDescent="0.25">
      <c r="A23">
        <v>4.8039999999999999E-2</v>
      </c>
      <c r="B23">
        <v>8.0260000000000012E-2</v>
      </c>
      <c r="C23">
        <v>8.0590000000000009E-2</v>
      </c>
    </row>
    <row r="24" spans="1:17" x14ac:dyDescent="0.25">
      <c r="A24">
        <v>4.6510000000000003E-2</v>
      </c>
      <c r="B24">
        <v>7.9150000000000012E-2</v>
      </c>
      <c r="C24">
        <v>7.9439999999999997E-2</v>
      </c>
    </row>
    <row r="25" spans="1:17" x14ac:dyDescent="0.25">
      <c r="A25">
        <v>4.6549999999999987E-2</v>
      </c>
      <c r="B25">
        <v>7.3849999999999999E-2</v>
      </c>
      <c r="C25">
        <v>7.443000000000001E-2</v>
      </c>
    </row>
    <row r="26" spans="1:17" x14ac:dyDescent="0.25">
      <c r="A26">
        <v>4.5539999999999997E-2</v>
      </c>
      <c r="B26">
        <v>7.7959999999999988E-2</v>
      </c>
      <c r="C26">
        <v>7.8400000000000011E-2</v>
      </c>
    </row>
    <row r="27" spans="1:17" x14ac:dyDescent="0.25">
      <c r="A27">
        <v>4.4420000000000001E-2</v>
      </c>
      <c r="B27">
        <v>7.6219999999999996E-2</v>
      </c>
      <c r="C27">
        <v>7.664E-2</v>
      </c>
    </row>
    <row r="28" spans="1:17" x14ac:dyDescent="0.25">
      <c r="A28">
        <v>4.1149999999999999E-2</v>
      </c>
      <c r="B28">
        <v>6.4019999999999994E-2</v>
      </c>
      <c r="C28">
        <v>6.4299999999999996E-2</v>
      </c>
    </row>
    <row r="29" spans="1:17" x14ac:dyDescent="0.25">
      <c r="A29">
        <v>3.7350000000000001E-2</v>
      </c>
      <c r="B29">
        <v>6.0339999999999998E-2</v>
      </c>
      <c r="C29">
        <v>6.062E-2</v>
      </c>
    </row>
    <row r="30" spans="1:17" x14ac:dyDescent="0.25">
      <c r="A30">
        <v>3.3320000000000002E-2</v>
      </c>
      <c r="B30">
        <v>4.931E-2</v>
      </c>
      <c r="C30">
        <v>4.9529999999999998E-2</v>
      </c>
    </row>
    <row r="31" spans="1:17" x14ac:dyDescent="0.25">
      <c r="A31">
        <v>3.0329999999999999E-2</v>
      </c>
      <c r="B31">
        <v>5.5010000000000003E-2</v>
      </c>
      <c r="C31">
        <v>5.525E-2</v>
      </c>
    </row>
    <row r="32" spans="1:17" x14ac:dyDescent="0.25">
      <c r="A32">
        <v>2.8639999999999999E-2</v>
      </c>
      <c r="B32">
        <v>4.6330000000000003E-2</v>
      </c>
      <c r="C32">
        <v>4.675E-2</v>
      </c>
    </row>
    <row r="33" spans="1:16" x14ac:dyDescent="0.25">
      <c r="A33">
        <v>2.4250000000000001E-2</v>
      </c>
      <c r="B33">
        <v>4.7899999999999998E-2</v>
      </c>
      <c r="C33">
        <v>4.8149999999999998E-2</v>
      </c>
    </row>
    <row r="34" spans="1:16" x14ac:dyDescent="0.25">
      <c r="A34">
        <v>2.359E-2</v>
      </c>
      <c r="B34">
        <v>4.8500000000000001E-2</v>
      </c>
      <c r="C34">
        <v>4.8800000000000003E-2</v>
      </c>
    </row>
    <row r="35" spans="1:16" x14ac:dyDescent="0.25">
      <c r="A35">
        <v>2.3800000000000002E-2</v>
      </c>
      <c r="B35">
        <v>5.4479999999999987E-2</v>
      </c>
      <c r="C35">
        <v>5.4739999999999997E-2</v>
      </c>
    </row>
    <row r="36" spans="1:16" x14ac:dyDescent="0.25">
      <c r="A36">
        <v>2.4709999999999999E-2</v>
      </c>
      <c r="B36">
        <v>5.203E-2</v>
      </c>
      <c r="C36">
        <v>5.2260000000000001E-2</v>
      </c>
    </row>
    <row r="37" spans="1:16" x14ac:dyDescent="0.25">
      <c r="A37">
        <v>2.1440000000000001E-2</v>
      </c>
      <c r="B37">
        <v>5.2499999999999998E-2</v>
      </c>
      <c r="C37">
        <v>5.2760000000000001E-2</v>
      </c>
    </row>
    <row r="38" spans="1:16" x14ac:dyDescent="0.25">
      <c r="A38">
        <v>2.8510000000000001E-2</v>
      </c>
      <c r="B38">
        <v>6.1899999999999997E-2</v>
      </c>
      <c r="C38">
        <v>6.2170000000000003E-2</v>
      </c>
    </row>
    <row r="39" spans="1:16" x14ac:dyDescent="0.25">
      <c r="A39">
        <v>2.7699999999999999E-2</v>
      </c>
      <c r="B39">
        <v>8.020999999999999E-2</v>
      </c>
      <c r="C39">
        <v>8.0599999999999991E-2</v>
      </c>
    </row>
    <row r="40" spans="1:16" x14ac:dyDescent="0.25">
      <c r="A40">
        <v>2.802E-2</v>
      </c>
      <c r="B40">
        <v>7.5379999999999989E-2</v>
      </c>
      <c r="C40">
        <v>7.578E-2</v>
      </c>
    </row>
    <row r="41" spans="1:16" x14ac:dyDescent="0.25">
      <c r="A41">
        <v>2.9929999999999998E-2</v>
      </c>
      <c r="B41">
        <v>9.1569999999999999E-2</v>
      </c>
      <c r="C41">
        <v>9.1980000000000006E-2</v>
      </c>
    </row>
    <row r="42" spans="1:16" x14ac:dyDescent="0.25">
      <c r="B42">
        <f>(B41-D20)/D20</f>
        <v>0.27944669554282531</v>
      </c>
      <c r="C42">
        <f>(C41-B41)/B41</f>
        <v>4.4774489461614896E-3</v>
      </c>
    </row>
    <row r="45" spans="1:16" x14ac:dyDescent="0.25">
      <c r="C45" t="s">
        <v>27</v>
      </c>
      <c r="O45" t="s">
        <v>27</v>
      </c>
    </row>
    <row r="46" spans="1:16" x14ac:dyDescent="0.25">
      <c r="C46">
        <f t="shared" ref="C46:C64" si="0">(C2-C23)/C23</f>
        <v>-0.40836332051122975</v>
      </c>
      <c r="D46">
        <f t="shared" ref="D46:D64" si="1">(D2-C23)/C23</f>
        <v>-0.23042561111800464</v>
      </c>
      <c r="O46">
        <f>(A23-$C23)/$C23</f>
        <v>-0.40389626504529103</v>
      </c>
      <c r="P46">
        <f>(B23-$C23)/$C23</f>
        <v>-4.0948008437771055E-3</v>
      </c>
    </row>
    <row r="47" spans="1:16" x14ac:dyDescent="0.25">
      <c r="C47">
        <f t="shared" si="0"/>
        <v>-0.41893252769385697</v>
      </c>
      <c r="D47">
        <f t="shared" si="1"/>
        <v>-0.21601208459214497</v>
      </c>
      <c r="O47">
        <f t="shared" ref="O47:P47" si="2">(A24-$C24)/$C24</f>
        <v>-0.41452668680765353</v>
      </c>
      <c r="P47">
        <f t="shared" si="2"/>
        <v>-3.6505538771397874E-3</v>
      </c>
    </row>
    <row r="48" spans="1:16" x14ac:dyDescent="0.25">
      <c r="C48">
        <f t="shared" si="0"/>
        <v>-0.37914819293295721</v>
      </c>
      <c r="D48">
        <f t="shared" si="1"/>
        <v>-0.21966948810963333</v>
      </c>
      <c r="O48">
        <f t="shared" ref="O48:P48" si="3">(A25-$C25)/$C25</f>
        <v>-0.37458014241569287</v>
      </c>
      <c r="P48">
        <f t="shared" si="3"/>
        <v>-7.7925567647455464E-3</v>
      </c>
    </row>
    <row r="49" spans="3:16" x14ac:dyDescent="0.25">
      <c r="C49">
        <f t="shared" si="0"/>
        <v>-0.42283163265306134</v>
      </c>
      <c r="D49">
        <f t="shared" si="1"/>
        <v>-0.2144132653061224</v>
      </c>
      <c r="O49">
        <f t="shared" ref="O49:P49" si="4">(A26-$C26)/$C26</f>
        <v>-0.4191326530612246</v>
      </c>
      <c r="P49">
        <f t="shared" si="4"/>
        <v>-5.6122448979594852E-3</v>
      </c>
    </row>
    <row r="50" spans="3:16" x14ac:dyDescent="0.25">
      <c r="C50">
        <f t="shared" si="0"/>
        <v>-0.42327766179540705</v>
      </c>
      <c r="D50">
        <f t="shared" si="1"/>
        <v>-0.21855427974947808</v>
      </c>
      <c r="O50">
        <f t="shared" ref="O50:P50" si="5">(A27-$C27)/$C27</f>
        <v>-0.42040709812108557</v>
      </c>
      <c r="P50">
        <f t="shared" si="5"/>
        <v>-5.4801670146138268E-3</v>
      </c>
    </row>
    <row r="51" spans="3:16" x14ac:dyDescent="0.25">
      <c r="C51">
        <f t="shared" si="0"/>
        <v>-0.36205287713841361</v>
      </c>
      <c r="D51">
        <f t="shared" si="1"/>
        <v>-0.23608087091757388</v>
      </c>
      <c r="O51">
        <f t="shared" ref="O51:P51" si="6">(A28-$C28)/$C28</f>
        <v>-0.36003110419906686</v>
      </c>
      <c r="P51">
        <f t="shared" si="6"/>
        <v>-4.3545878693624024E-3</v>
      </c>
    </row>
    <row r="52" spans="3:16" x14ac:dyDescent="0.25">
      <c r="C52">
        <f t="shared" si="0"/>
        <v>-0.38650610359617288</v>
      </c>
      <c r="D52">
        <f t="shared" si="1"/>
        <v>-0.22302870339821837</v>
      </c>
      <c r="O52">
        <f t="shared" ref="O52:P52" si="7">(A29-$C29)/$C29</f>
        <v>-0.38386671065654898</v>
      </c>
      <c r="P52">
        <f t="shared" si="7"/>
        <v>-4.6189376443418421E-3</v>
      </c>
    </row>
    <row r="53" spans="3:16" x14ac:dyDescent="0.25">
      <c r="C53">
        <f t="shared" si="0"/>
        <v>-0.32788209166161919</v>
      </c>
      <c r="D53">
        <f t="shared" si="1"/>
        <v>-0.21865536038764358</v>
      </c>
      <c r="O53">
        <f t="shared" ref="O53:P53" si="8">(A30-$C30)/$C30</f>
        <v>-0.32727639814253978</v>
      </c>
      <c r="P53">
        <f t="shared" si="8"/>
        <v>-4.4417524732484953E-3</v>
      </c>
    </row>
    <row r="54" spans="3:16" x14ac:dyDescent="0.25">
      <c r="C54">
        <f t="shared" si="0"/>
        <v>-0.45538461538461539</v>
      </c>
      <c r="D54">
        <f t="shared" si="1"/>
        <v>-0.21900452488687783</v>
      </c>
      <c r="O54">
        <f t="shared" ref="O54:P54" si="9">(A31-$C31)/$C31</f>
        <v>-0.45104072398190048</v>
      </c>
      <c r="P54">
        <f t="shared" si="9"/>
        <v>-4.3438914027148804E-3</v>
      </c>
    </row>
    <row r="55" spans="3:16" x14ac:dyDescent="0.25">
      <c r="C55">
        <f t="shared" si="0"/>
        <v>-0.39144385026737971</v>
      </c>
      <c r="D55">
        <f t="shared" si="1"/>
        <v>-0.22181818181818175</v>
      </c>
      <c r="O55">
        <f t="shared" ref="O55:P55" si="10">(A32-$C32)/$C32</f>
        <v>-0.38737967914438504</v>
      </c>
      <c r="P55">
        <f t="shared" si="10"/>
        <v>-8.9839572192512672E-3</v>
      </c>
    </row>
    <row r="56" spans="3:16" x14ac:dyDescent="0.25">
      <c r="C56">
        <f t="shared" si="0"/>
        <v>-0.50259605399792318</v>
      </c>
      <c r="D56">
        <f t="shared" si="1"/>
        <v>-0.22139148494288674</v>
      </c>
      <c r="O56">
        <f t="shared" ref="O56:P56" si="11">(A33-$C33)/$C33</f>
        <v>-0.49636552440290754</v>
      </c>
      <c r="P56">
        <f t="shared" si="11"/>
        <v>-5.1921079958463182E-3</v>
      </c>
    </row>
    <row r="57" spans="3:16" x14ac:dyDescent="0.25">
      <c r="C57">
        <f t="shared" si="0"/>
        <v>-0.5264344262295082</v>
      </c>
      <c r="D57">
        <f t="shared" si="1"/>
        <v>-0.21905737704918041</v>
      </c>
      <c r="O57">
        <f t="shared" ref="O57:P57" si="12">(A34-$C34)/$C34</f>
        <v>-0.51659836065573772</v>
      </c>
      <c r="P57">
        <f t="shared" si="12"/>
        <v>-6.1475409836065911E-3</v>
      </c>
    </row>
    <row r="58" spans="3:16" x14ac:dyDescent="0.25">
      <c r="C58">
        <f t="shared" si="0"/>
        <v>-0.5743514797223237</v>
      </c>
      <c r="D58">
        <f t="shared" si="1"/>
        <v>-0.21410303251735469</v>
      </c>
      <c r="O58">
        <f t="shared" ref="O58:P58" si="13">(A35-$C35)/$C35</f>
        <v>-0.56521739130434778</v>
      </c>
      <c r="P58">
        <f t="shared" si="13"/>
        <v>-4.7497259773476479E-3</v>
      </c>
    </row>
    <row r="59" spans="3:16" x14ac:dyDescent="0.25">
      <c r="C59">
        <f t="shared" si="0"/>
        <v>-0.53597397627248378</v>
      </c>
      <c r="D59">
        <f t="shared" si="1"/>
        <v>-0.22158438576349024</v>
      </c>
      <c r="O59">
        <f t="shared" ref="O59:P59" si="14">(A36-$C36)/$C36</f>
        <v>-0.52717183314198246</v>
      </c>
      <c r="P59">
        <f t="shared" si="14"/>
        <v>-4.4010715652506895E-3</v>
      </c>
    </row>
    <row r="60" spans="3:16" x14ac:dyDescent="0.25">
      <c r="C60">
        <f t="shared" si="0"/>
        <v>-0.60538286580742984</v>
      </c>
      <c r="D60">
        <f t="shared" si="1"/>
        <v>-0.21474601971190294</v>
      </c>
      <c r="O60">
        <f t="shared" ref="O60:P60" si="15">(A37-$C37)/$C37</f>
        <v>-0.59363153904473087</v>
      </c>
      <c r="P60">
        <f t="shared" si="15"/>
        <v>-4.9279757391964231E-3</v>
      </c>
    </row>
    <row r="61" spans="3:16" x14ac:dyDescent="0.25">
      <c r="C61">
        <f t="shared" si="0"/>
        <v>-0.55203474344539172</v>
      </c>
      <c r="D61">
        <f t="shared" si="1"/>
        <v>-0.22728003860382825</v>
      </c>
      <c r="O61">
        <f t="shared" ref="O61:P61" si="16">(A38-$C38)/$C38</f>
        <v>-0.54141869068682646</v>
      </c>
      <c r="P61">
        <f t="shared" si="16"/>
        <v>-4.3429306739586025E-3</v>
      </c>
    </row>
    <row r="62" spans="3:16" x14ac:dyDescent="0.25">
      <c r="C62">
        <f t="shared" si="0"/>
        <v>-0.67208436724565757</v>
      </c>
      <c r="D62">
        <f t="shared" si="1"/>
        <v>-0.22766749379652598</v>
      </c>
      <c r="O62">
        <f t="shared" ref="O62:P62" si="17">(A39-$C39)/$C39</f>
        <v>-0.65632754342431754</v>
      </c>
      <c r="P62">
        <f t="shared" si="17"/>
        <v>-4.8387096774193733E-3</v>
      </c>
    </row>
    <row r="63" spans="3:16" x14ac:dyDescent="0.25">
      <c r="C63">
        <f t="shared" si="0"/>
        <v>-0.64871997888624966</v>
      </c>
      <c r="D63">
        <f t="shared" si="1"/>
        <v>-0.23752969121140144</v>
      </c>
      <c r="O63">
        <f t="shared" ref="O63:P63" si="18">(A40-$C40)/$C40</f>
        <v>-0.63024544734758503</v>
      </c>
      <c r="P63">
        <f t="shared" si="18"/>
        <v>-5.2784375824757382E-3</v>
      </c>
    </row>
    <row r="64" spans="3:16" x14ac:dyDescent="0.25">
      <c r="C64">
        <f t="shared" si="0"/>
        <v>-0.69188954120460966</v>
      </c>
      <c r="D64">
        <f t="shared" si="1"/>
        <v>-0.22189606436181789</v>
      </c>
      <c r="O64">
        <f t="shared" ref="O64:P64" si="19">(A41-$C41)/$C41</f>
        <v>-0.67460317460317465</v>
      </c>
      <c r="P64">
        <f t="shared" si="19"/>
        <v>-4.457490758860704E-3</v>
      </c>
    </row>
  </sheetData>
  <phoneticPr fontId="1" type="noConversion"/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118"/>
  <sheetViews>
    <sheetView tabSelected="1" zoomScale="85" zoomScaleNormal="85" workbookViewId="0">
      <selection activeCell="K24" sqref="K24"/>
    </sheetView>
  </sheetViews>
  <sheetFormatPr defaultRowHeight="14.4" x14ac:dyDescent="0.25"/>
  <cols>
    <col min="2" max="4" width="8.88671875" style="5" customWidth="1"/>
    <col min="5" max="7" width="8.88671875" style="6" customWidth="1"/>
    <col min="9" max="9" width="12.33203125" bestFit="1" customWidth="1"/>
    <col min="10" max="11" width="12.44140625" bestFit="1" customWidth="1"/>
  </cols>
  <sheetData>
    <row r="1" spans="1:30" x14ac:dyDescent="0.25">
      <c r="A1" t="s">
        <v>93</v>
      </c>
    </row>
    <row r="2" spans="1:30" x14ac:dyDescent="0.25">
      <c r="A2" t="s">
        <v>94</v>
      </c>
    </row>
    <row r="3" spans="1:30" x14ac:dyDescent="0.25">
      <c r="A3" t="s">
        <v>95</v>
      </c>
      <c r="B3" s="51" t="s">
        <v>96</v>
      </c>
      <c r="C3" s="52"/>
      <c r="D3" s="52"/>
      <c r="E3" s="53" t="s">
        <v>97</v>
      </c>
      <c r="F3" s="54"/>
      <c r="G3" s="54"/>
      <c r="H3" s="49" t="s">
        <v>98</v>
      </c>
      <c r="I3" s="50"/>
      <c r="J3" s="50"/>
    </row>
    <row r="4" spans="1:30" x14ac:dyDescent="0.25">
      <c r="A4" t="s">
        <v>99</v>
      </c>
      <c r="B4" s="5" t="s">
        <v>100</v>
      </c>
      <c r="C4" s="5" t="s">
        <v>101</v>
      </c>
      <c r="D4" s="5" t="s">
        <v>102</v>
      </c>
      <c r="E4" s="6" t="s">
        <v>100</v>
      </c>
      <c r="F4" s="6" t="s">
        <v>101</v>
      </c>
      <c r="G4" s="6" t="s">
        <v>102</v>
      </c>
      <c r="H4" t="s">
        <v>100</v>
      </c>
      <c r="I4" t="s">
        <v>101</v>
      </c>
      <c r="J4" t="s">
        <v>102</v>
      </c>
    </row>
    <row r="5" spans="1:30" x14ac:dyDescent="0.25">
      <c r="A5">
        <v>0</v>
      </c>
      <c r="B5" s="5">
        <v>0.14461754225656301</v>
      </c>
      <c r="C5" s="5">
        <v>0.22422937900353401</v>
      </c>
      <c r="D5" s="5">
        <v>0.22881801939514301</v>
      </c>
      <c r="E5" s="6">
        <f>'1-1_Acceleration'!A14</f>
        <v>6.473000000000001E-2</v>
      </c>
      <c r="F5" s="6">
        <f>'1-1_Acceleration'!B14</f>
        <v>0.12651000000000001</v>
      </c>
      <c r="G5" s="6">
        <f>'1-1_Acceleration'!C14</f>
        <v>0.12665999999999999</v>
      </c>
      <c r="H5">
        <f t="shared" ref="H5:H14" si="0">(E5-B5)/B5</f>
        <v>-0.55240561421543277</v>
      </c>
      <c r="I5">
        <f>(F5-C5)/C5</f>
        <v>-0.43580096166610655</v>
      </c>
      <c r="J5">
        <f t="shared" ref="J5:J14" si="1">(G5-D5)/D5</f>
        <v>-0.44645967859169167</v>
      </c>
      <c r="AC5" s="5"/>
      <c r="AD5" s="5"/>
    </row>
    <row r="6" spans="1:30" x14ac:dyDescent="0.25">
      <c r="A6">
        <v>8.7266462599716502E-2</v>
      </c>
      <c r="B6" s="5">
        <v>0.14574383059780099</v>
      </c>
      <c r="C6" s="5">
        <v>0.23891485265779699</v>
      </c>
      <c r="D6" s="5">
        <v>0.242018594909096</v>
      </c>
      <c r="E6" s="6">
        <f>'1-1_Acceleration'!A15</f>
        <v>6.5129999999999993E-2</v>
      </c>
      <c r="F6" s="6">
        <f>'1-1_Acceleration'!B15</f>
        <v>0.14532</v>
      </c>
      <c r="G6" s="6">
        <f>'1-1_Acceleration'!C15</f>
        <v>0.14563000000000001</v>
      </c>
      <c r="H6">
        <f t="shared" si="0"/>
        <v>-0.55312002070444632</v>
      </c>
      <c r="I6">
        <f t="shared" ref="I6:I14" si="2">(F6-C6)/C6</f>
        <v>-0.39174982893112537</v>
      </c>
      <c r="J6">
        <f t="shared" si="1"/>
        <v>-0.39826937655472411</v>
      </c>
      <c r="AC6" s="5"/>
      <c r="AD6" s="5"/>
    </row>
    <row r="7" spans="1:30" x14ac:dyDescent="0.25">
      <c r="A7">
        <v>0.174532925199433</v>
      </c>
      <c r="B7" s="5">
        <v>0.123218319821101</v>
      </c>
      <c r="C7" s="5">
        <v>0.195550423711429</v>
      </c>
      <c r="D7" s="5">
        <v>0.19790102555998401</v>
      </c>
      <c r="E7" s="6">
        <f>'1-1_Acceleration'!A16</f>
        <v>5.525E-2</v>
      </c>
      <c r="F7" s="6">
        <f>'1-1_Acceleration'!B16</f>
        <v>0.13277</v>
      </c>
      <c r="G7" s="6">
        <f>'1-1_Acceleration'!C16</f>
        <v>0.13300999999999999</v>
      </c>
      <c r="H7">
        <f t="shared" si="0"/>
        <v>-0.5516088834824503</v>
      </c>
      <c r="I7">
        <f t="shared" si="2"/>
        <v>-0.32104468259334068</v>
      </c>
      <c r="J7">
        <f t="shared" si="1"/>
        <v>-0.32789635817382606</v>
      </c>
      <c r="AC7" s="5"/>
      <c r="AD7" s="5"/>
    </row>
    <row r="8" spans="1:30" x14ac:dyDescent="0.25">
      <c r="A8">
        <v>0.26179938779914902</v>
      </c>
      <c r="B8" s="5">
        <v>0.119190932832967</v>
      </c>
      <c r="C8" s="5">
        <v>0.19996638206058301</v>
      </c>
      <c r="D8" s="5">
        <v>0.201287478382664</v>
      </c>
      <c r="E8" s="6">
        <f>'1-1_Acceleration'!A17</f>
        <v>6.012E-2</v>
      </c>
      <c r="F8" s="6">
        <f>'1-1_Acceleration'!B17</f>
        <v>0.11871</v>
      </c>
      <c r="G8" s="6">
        <f>'1-1_Acceleration'!C17</f>
        <v>0.11905</v>
      </c>
      <c r="H8">
        <f t="shared" si="0"/>
        <v>-0.49559921572011206</v>
      </c>
      <c r="I8">
        <f t="shared" si="2"/>
        <v>-0.40635021358722734</v>
      </c>
      <c r="J8">
        <f t="shared" si="1"/>
        <v>-0.40855734814424877</v>
      </c>
      <c r="AC8" s="5"/>
      <c r="AD8" s="5"/>
    </row>
    <row r="9" spans="1:30" x14ac:dyDescent="0.25">
      <c r="A9">
        <v>0.34906585039886601</v>
      </c>
      <c r="B9" s="5">
        <v>0.105740550632465</v>
      </c>
      <c r="C9" s="5">
        <v>0.14722937110335699</v>
      </c>
      <c r="D9" s="5">
        <v>0.150365553159441</v>
      </c>
      <c r="E9" s="6">
        <f>'1-1_Acceleration'!A18</f>
        <v>5.0380000000000001E-2</v>
      </c>
      <c r="F9" s="6">
        <f>'1-1_Acceleration'!B18</f>
        <v>9.9510000000000001E-2</v>
      </c>
      <c r="G9" s="6">
        <f>'1-1_Acceleration'!C18</f>
        <v>9.9919999999999995E-2</v>
      </c>
      <c r="H9">
        <f t="shared" si="0"/>
        <v>-0.52355080715333369</v>
      </c>
      <c r="I9">
        <f t="shared" si="2"/>
        <v>-0.32411583874699396</v>
      </c>
      <c r="J9">
        <f t="shared" si="1"/>
        <v>-0.33548610103506066</v>
      </c>
      <c r="AC9" s="5"/>
      <c r="AD9" s="5"/>
    </row>
    <row r="10" spans="1:30" x14ac:dyDescent="0.25">
      <c r="A10">
        <v>0.43633231299858199</v>
      </c>
      <c r="B10" s="5">
        <v>0.113151330133636</v>
      </c>
      <c r="C10" s="5">
        <v>0.11653426316692</v>
      </c>
      <c r="D10" s="5">
        <v>0.129943884511105</v>
      </c>
      <c r="E10" s="6">
        <f>'1-1_Acceleration'!A19</f>
        <v>5.1290000000000002E-2</v>
      </c>
      <c r="F10" s="6">
        <f>'1-1_Acceleration'!B19</f>
        <v>8.181999999999999E-2</v>
      </c>
      <c r="G10" s="6">
        <f>'1-1_Acceleration'!C19</f>
        <v>8.2189999999999999E-2</v>
      </c>
      <c r="H10">
        <f t="shared" si="0"/>
        <v>-0.54671323846193787</v>
      </c>
      <c r="I10">
        <f t="shared" si="2"/>
        <v>-0.29788889742406832</v>
      </c>
      <c r="J10">
        <f t="shared" si="1"/>
        <v>-0.36749620569503566</v>
      </c>
      <c r="AC10" s="5"/>
      <c r="AD10" s="5"/>
    </row>
    <row r="11" spans="1:30" x14ac:dyDescent="0.25">
      <c r="A11">
        <v>0.52359877559829904</v>
      </c>
      <c r="B11" s="5">
        <v>0.10481180814546701</v>
      </c>
      <c r="C11" s="5">
        <v>0.12734449340182</v>
      </c>
      <c r="D11" s="5">
        <v>0.13194455836051999</v>
      </c>
      <c r="E11" s="6">
        <f>'1-1_Acceleration'!A20</f>
        <v>5.0360000000000002E-2</v>
      </c>
      <c r="F11" s="6">
        <f>'1-1_Acceleration'!B20</f>
        <v>8.2019999999999996E-2</v>
      </c>
      <c r="G11" s="6">
        <f>'1-1_Acceleration'!C20</f>
        <v>8.2290000000000002E-2</v>
      </c>
      <c r="H11">
        <f t="shared" si="0"/>
        <v>-0.51951978607118399</v>
      </c>
      <c r="I11">
        <f t="shared" si="2"/>
        <v>-0.3559203243975701</v>
      </c>
      <c r="J11">
        <f t="shared" si="1"/>
        <v>-0.37632895950771894</v>
      </c>
      <c r="AC11" s="5"/>
      <c r="AD11" s="5"/>
    </row>
    <row r="12" spans="1:30" x14ac:dyDescent="0.25">
      <c r="A12">
        <v>0.61086523819801497</v>
      </c>
      <c r="B12" s="5">
        <v>0.11044656620889901</v>
      </c>
      <c r="C12" s="5">
        <v>0.114415712852866</v>
      </c>
      <c r="D12" s="5">
        <v>0.12722112864763599</v>
      </c>
      <c r="E12" s="6">
        <f>'1-1_Acceleration'!A21</f>
        <v>5.5879999999999999E-2</v>
      </c>
      <c r="F12" s="6">
        <f>'1-1_Acceleration'!B21</f>
        <v>7.3209999999999997E-2</v>
      </c>
      <c r="G12" s="6">
        <f>'1-1_Acceleration'!C21</f>
        <v>7.3810000000000001E-2</v>
      </c>
      <c r="H12">
        <f t="shared" si="0"/>
        <v>-0.49405398539680828</v>
      </c>
      <c r="I12">
        <f t="shared" si="2"/>
        <v>-0.36014033234976117</v>
      </c>
      <c r="J12">
        <f t="shared" si="1"/>
        <v>-0.4198290741121205</v>
      </c>
      <c r="AC12" s="5"/>
      <c r="AD12" s="5"/>
    </row>
    <row r="13" spans="1:30" x14ac:dyDescent="0.25">
      <c r="A13">
        <v>0.69813170079773201</v>
      </c>
      <c r="B13" s="5">
        <v>0.102752485148652</v>
      </c>
      <c r="C13" s="5">
        <v>9.6404404302761398E-2</v>
      </c>
      <c r="D13" s="5">
        <v>0.112717366536148</v>
      </c>
      <c r="E13" s="6">
        <f>'1-1_Acceleration'!A22</f>
        <v>5.525E-2</v>
      </c>
      <c r="F13" s="6">
        <f>'1-1_Acceleration'!B22</f>
        <v>6.5709999999999991E-2</v>
      </c>
      <c r="G13" s="6">
        <f>'1-1_Acceleration'!C22</f>
        <v>6.8659999999999999E-2</v>
      </c>
      <c r="H13">
        <f t="shared" si="0"/>
        <v>-0.46230010962683932</v>
      </c>
      <c r="I13">
        <f t="shared" si="2"/>
        <v>-0.31839213700615338</v>
      </c>
      <c r="J13">
        <f t="shared" si="1"/>
        <v>-0.39086582564913797</v>
      </c>
      <c r="AC13" s="5"/>
      <c r="AD13" s="5"/>
    </row>
    <row r="14" spans="1:30" x14ac:dyDescent="0.25">
      <c r="A14">
        <v>0.78539816339744795</v>
      </c>
      <c r="B14" s="5">
        <v>9.72536592135958E-2</v>
      </c>
      <c r="C14" s="5">
        <v>0.10631356936144</v>
      </c>
      <c r="D14" s="5">
        <v>0.115269005057364</v>
      </c>
      <c r="E14" s="6">
        <f>'1-1_Acceleration'!A23</f>
        <v>5.3179999999999998E-2</v>
      </c>
      <c r="F14" s="6">
        <f>'1-1_Acceleration'!B23</f>
        <v>6.5370000000000011E-2</v>
      </c>
      <c r="G14" s="6">
        <f>'1-1_Acceleration'!C23</f>
        <v>6.7409999999999998E-2</v>
      </c>
      <c r="H14">
        <f t="shared" si="0"/>
        <v>-0.45318252876015613</v>
      </c>
      <c r="I14">
        <f t="shared" si="2"/>
        <v>-0.38512082330941139</v>
      </c>
      <c r="J14">
        <f t="shared" si="1"/>
        <v>-0.41519405007050081</v>
      </c>
      <c r="AC14" s="5"/>
      <c r="AD14" s="5"/>
    </row>
    <row r="15" spans="1:30" x14ac:dyDescent="0.25">
      <c r="A15">
        <v>0.87266462599716499</v>
      </c>
      <c r="B15" s="5">
        <v>9.6404404302761398E-2</v>
      </c>
      <c r="C15" s="5">
        <v>0.102752485148652</v>
      </c>
      <c r="D15" s="5">
        <v>0.112717366536148</v>
      </c>
      <c r="E15" s="6">
        <f>E13</f>
        <v>5.525E-2</v>
      </c>
      <c r="F15" s="6">
        <f t="shared" ref="F15:G15" si="3">F13</f>
        <v>6.5709999999999991E-2</v>
      </c>
      <c r="G15" s="6">
        <f t="shared" si="3"/>
        <v>6.8659999999999999E-2</v>
      </c>
      <c r="AC15" s="5"/>
      <c r="AD15" s="5"/>
    </row>
    <row r="16" spans="1:30" x14ac:dyDescent="0.25">
      <c r="A16">
        <v>0.95993108859688103</v>
      </c>
      <c r="B16" s="5">
        <v>0.114415712852866</v>
      </c>
      <c r="C16" s="5">
        <v>0.11044656620889901</v>
      </c>
      <c r="D16" s="5">
        <v>0.12722112864763599</v>
      </c>
      <c r="E16" s="6">
        <f>E12</f>
        <v>5.5879999999999999E-2</v>
      </c>
      <c r="F16" s="6">
        <f t="shared" ref="F16:G16" si="4">F12</f>
        <v>7.3209999999999997E-2</v>
      </c>
      <c r="G16" s="6">
        <f t="shared" si="4"/>
        <v>7.3810000000000001E-2</v>
      </c>
      <c r="AC16" s="5"/>
      <c r="AD16" s="5"/>
    </row>
    <row r="17" spans="1:30" x14ac:dyDescent="0.25">
      <c r="A17">
        <v>1.0471975511966001</v>
      </c>
      <c r="B17" s="5">
        <v>0.12734449340182</v>
      </c>
      <c r="C17" s="5">
        <v>0.10481180814546701</v>
      </c>
      <c r="D17" s="5">
        <v>0.13194455836051999</v>
      </c>
      <c r="E17" s="6">
        <f>E11</f>
        <v>5.0360000000000002E-2</v>
      </c>
      <c r="F17" s="6">
        <f t="shared" ref="F17:G17" si="5">F11</f>
        <v>8.2019999999999996E-2</v>
      </c>
      <c r="G17" s="6">
        <f t="shared" si="5"/>
        <v>8.2290000000000002E-2</v>
      </c>
      <c r="AC17" s="5"/>
      <c r="AD17" s="5"/>
    </row>
    <row r="18" spans="1:30" x14ac:dyDescent="0.25">
      <c r="A18">
        <v>1.13446401379631</v>
      </c>
      <c r="B18" s="5">
        <v>0.11653426316692</v>
      </c>
      <c r="C18" s="5">
        <v>0.113151330133636</v>
      </c>
      <c r="D18" s="5">
        <v>0.129943884511105</v>
      </c>
      <c r="E18" s="6">
        <f>E10</f>
        <v>5.1290000000000002E-2</v>
      </c>
      <c r="F18" s="6">
        <f t="shared" ref="F18:G18" si="6">F10</f>
        <v>8.181999999999999E-2</v>
      </c>
      <c r="G18" s="6">
        <f t="shared" si="6"/>
        <v>8.2189999999999999E-2</v>
      </c>
      <c r="AC18" s="5"/>
      <c r="AD18" s="5"/>
    </row>
    <row r="19" spans="1:30" x14ac:dyDescent="0.25">
      <c r="A19">
        <v>1.2217304763960299</v>
      </c>
      <c r="B19" s="5">
        <v>0.14722937110335699</v>
      </c>
      <c r="C19" s="5">
        <v>0.105740550632465</v>
      </c>
      <c r="D19" s="5">
        <v>0.150365553159441</v>
      </c>
      <c r="E19" s="6">
        <f>E9</f>
        <v>5.0380000000000001E-2</v>
      </c>
      <c r="F19" s="6">
        <f t="shared" ref="F19:G19" si="7">F9</f>
        <v>9.9510000000000001E-2</v>
      </c>
      <c r="G19" s="6">
        <f t="shared" si="7"/>
        <v>9.9919999999999995E-2</v>
      </c>
      <c r="AC19" s="5"/>
      <c r="AD19" s="5"/>
    </row>
    <row r="20" spans="1:30" x14ac:dyDescent="0.25">
      <c r="A20">
        <v>1.3089969389957501</v>
      </c>
      <c r="B20" s="5">
        <v>0.19996638206058301</v>
      </c>
      <c r="C20" s="5">
        <v>0.119190932832967</v>
      </c>
      <c r="D20" s="5">
        <v>0.201287478382664</v>
      </c>
      <c r="E20" s="6">
        <f>E8</f>
        <v>6.012E-2</v>
      </c>
      <c r="F20" s="6">
        <f t="shared" ref="F20:G20" si="8">F8</f>
        <v>0.11871</v>
      </c>
      <c r="G20" s="6">
        <f t="shared" si="8"/>
        <v>0.11905</v>
      </c>
      <c r="AC20" s="5"/>
      <c r="AD20" s="5"/>
    </row>
    <row r="21" spans="1:30" x14ac:dyDescent="0.25">
      <c r="A21">
        <v>1.39626340159546</v>
      </c>
      <c r="B21" s="5">
        <v>0.195550423711429</v>
      </c>
      <c r="C21" s="5">
        <v>0.123218319821101</v>
      </c>
      <c r="D21" s="5">
        <v>0.19790102555998401</v>
      </c>
      <c r="E21" s="6">
        <f>E7</f>
        <v>5.525E-2</v>
      </c>
      <c r="F21" s="6">
        <f t="shared" ref="F21:G21" si="9">F7</f>
        <v>0.13277</v>
      </c>
      <c r="G21" s="6">
        <f t="shared" si="9"/>
        <v>0.13300999999999999</v>
      </c>
      <c r="AC21" s="5"/>
      <c r="AD21" s="5"/>
    </row>
    <row r="22" spans="1:30" x14ac:dyDescent="0.25">
      <c r="A22">
        <v>1.48352986419518</v>
      </c>
      <c r="B22" s="5">
        <v>0.23891485265779699</v>
      </c>
      <c r="C22" s="5">
        <v>0.14574383059780099</v>
      </c>
      <c r="D22" s="5">
        <v>0.242018594909096</v>
      </c>
      <c r="E22" s="6">
        <f>E6</f>
        <v>6.5129999999999993E-2</v>
      </c>
      <c r="F22" s="6">
        <f t="shared" ref="F22:G22" si="10">F6</f>
        <v>0.14532</v>
      </c>
      <c r="G22" s="6">
        <f t="shared" si="10"/>
        <v>0.14563000000000001</v>
      </c>
      <c r="AC22" s="5"/>
      <c r="AD22" s="5"/>
    </row>
    <row r="23" spans="1:30" x14ac:dyDescent="0.25">
      <c r="A23">
        <v>1.5707963267949001</v>
      </c>
      <c r="B23" s="5">
        <v>0.22422937900353401</v>
      </c>
      <c r="C23" s="5">
        <v>0.14461754225656301</v>
      </c>
      <c r="D23" s="5">
        <v>0.22881801939514301</v>
      </c>
      <c r="E23" s="6">
        <f>E5</f>
        <v>6.473000000000001E-2</v>
      </c>
      <c r="F23" s="6">
        <f t="shared" ref="F23:G23" si="11">F5</f>
        <v>0.12651000000000001</v>
      </c>
      <c r="G23" s="6">
        <f t="shared" si="11"/>
        <v>0.12665999999999999</v>
      </c>
      <c r="AC23" s="5"/>
      <c r="AD23" s="5"/>
    </row>
    <row r="27" spans="1:30" x14ac:dyDescent="0.25">
      <c r="A27" t="s">
        <v>103</v>
      </c>
    </row>
    <row r="28" spans="1:30" x14ac:dyDescent="0.25">
      <c r="A28" t="s">
        <v>95</v>
      </c>
      <c r="B28" s="5" t="s">
        <v>96</v>
      </c>
      <c r="E28" s="6" t="s">
        <v>97</v>
      </c>
      <c r="H28" t="s">
        <v>98</v>
      </c>
    </row>
    <row r="29" spans="1:30" x14ac:dyDescent="0.25">
      <c r="A29" t="s">
        <v>99</v>
      </c>
      <c r="B29" s="5" t="s">
        <v>100</v>
      </c>
      <c r="C29" s="5" t="s">
        <v>101</v>
      </c>
      <c r="D29" s="5" t="s">
        <v>102</v>
      </c>
      <c r="E29" s="6" t="s">
        <v>100</v>
      </c>
      <c r="F29" s="6" t="s">
        <v>101</v>
      </c>
      <c r="G29" s="6" t="s">
        <v>102</v>
      </c>
      <c r="H29" t="s">
        <v>100</v>
      </c>
      <c r="I29" t="s">
        <v>101</v>
      </c>
      <c r="J29" t="s">
        <v>102</v>
      </c>
    </row>
    <row r="30" spans="1:30" x14ac:dyDescent="0.25">
      <c r="A30">
        <v>0</v>
      </c>
      <c r="B30" s="5">
        <v>0.13223209299999999</v>
      </c>
      <c r="C30" s="5">
        <v>9.5521892999999997E-2</v>
      </c>
      <c r="D30" s="5">
        <v>0.13761963699999999</v>
      </c>
      <c r="E30" s="6">
        <f>'2-1_Acceleration'!A23</f>
        <v>6.9879999999999998E-2</v>
      </c>
      <c r="F30" s="6">
        <f>'2-1_Acceleration'!B23</f>
        <v>8.7139999999999995E-2</v>
      </c>
      <c r="G30" s="6">
        <f>'2-1_Acceleration'!C23</f>
        <v>9.1069999999999998E-2</v>
      </c>
      <c r="H30">
        <f t="shared" ref="H30:H48" si="12">(E30-B30)/B30</f>
        <v>-0.47153524976724071</v>
      </c>
      <c r="I30">
        <f t="shared" ref="I30:I48" si="13">(F30-C30)/C30</f>
        <v>-8.7748397113528748E-2</v>
      </c>
      <c r="J30">
        <f t="shared" ref="J30:J48" si="14">(G30-D30)/D30</f>
        <v>-0.33824850882290869</v>
      </c>
    </row>
    <row r="31" spans="1:30" x14ac:dyDescent="0.25">
      <c r="A31">
        <v>8.7266463000000002E-2</v>
      </c>
      <c r="B31" s="5">
        <v>0.121683868</v>
      </c>
      <c r="C31" s="5">
        <v>9.7854450999999995E-2</v>
      </c>
      <c r="D31" s="5">
        <v>0.12609626900000001</v>
      </c>
      <c r="E31" s="6">
        <f>'2-1_Acceleration'!A24</f>
        <v>6.9889999999999994E-2</v>
      </c>
      <c r="F31" s="6">
        <f>'2-1_Acceleration'!B24</f>
        <v>7.3819999999999997E-2</v>
      </c>
      <c r="G31" s="6">
        <f>'2-1_Acceleration'!C24</f>
        <v>8.131999999999999E-2</v>
      </c>
      <c r="H31">
        <f t="shared" si="12"/>
        <v>-0.42564284692199306</v>
      </c>
      <c r="I31">
        <f t="shared" si="13"/>
        <v>-0.24561428483207165</v>
      </c>
      <c r="J31">
        <f t="shared" si="14"/>
        <v>-0.35509590692171883</v>
      </c>
    </row>
    <row r="32" spans="1:30" x14ac:dyDescent="0.25">
      <c r="A32">
        <v>0.17453292500000001</v>
      </c>
      <c r="B32" s="5">
        <v>0.12946930800000001</v>
      </c>
      <c r="C32" s="5">
        <v>9.8119680000000001E-2</v>
      </c>
      <c r="D32" s="5">
        <v>0.13483157900000001</v>
      </c>
      <c r="E32" s="6">
        <f>'2-1_Acceleration'!A25</f>
        <v>7.1169999999999997E-2</v>
      </c>
      <c r="F32" s="6">
        <f>'2-1_Acceleration'!B25</f>
        <v>9.0029999999999999E-2</v>
      </c>
      <c r="G32" s="6">
        <f>'2-1_Acceleration'!C25</f>
        <v>9.3310000000000004E-2</v>
      </c>
      <c r="H32">
        <f t="shared" si="12"/>
        <v>-0.45029442808175052</v>
      </c>
      <c r="I32">
        <f t="shared" si="13"/>
        <v>-8.2447068722604905E-2</v>
      </c>
      <c r="J32">
        <f t="shared" si="14"/>
        <v>-0.30795144066361485</v>
      </c>
    </row>
    <row r="33" spans="1:10" x14ac:dyDescent="0.25">
      <c r="A33">
        <v>0.26179938800000002</v>
      </c>
      <c r="B33" s="5">
        <v>0.119927643</v>
      </c>
      <c r="C33" s="5">
        <v>9.0768804999999994E-2</v>
      </c>
      <c r="D33" s="5">
        <v>0.125383893</v>
      </c>
      <c r="E33" s="6">
        <f>'2-1_Acceleration'!A26</f>
        <v>6.7080000000000001E-2</v>
      </c>
      <c r="F33" s="6">
        <f>'2-1_Acceleration'!B26</f>
        <v>7.3319999999999996E-2</v>
      </c>
      <c r="G33" s="6">
        <f>'2-1_Acceleration'!C26</f>
        <v>7.9489999999999991E-2</v>
      </c>
      <c r="H33">
        <f t="shared" si="12"/>
        <v>-0.44066273361179958</v>
      </c>
      <c r="I33">
        <f t="shared" si="13"/>
        <v>-0.19223349916306598</v>
      </c>
      <c r="J33">
        <f t="shared" si="14"/>
        <v>-0.36602702230660528</v>
      </c>
    </row>
    <row r="34" spans="1:10" x14ac:dyDescent="0.25">
      <c r="A34">
        <v>0.34906585000000001</v>
      </c>
      <c r="B34" s="5">
        <v>0.124606461</v>
      </c>
      <c r="C34" s="5">
        <v>9.2318127999999999E-2</v>
      </c>
      <c r="D34" s="5">
        <v>0.12927704000000001</v>
      </c>
      <c r="E34" s="6">
        <f>'2-1_Acceleration'!A27</f>
        <v>6.2869999999999995E-2</v>
      </c>
      <c r="F34" s="6">
        <f>'2-1_Acceleration'!B27</f>
        <v>7.887000000000001E-2</v>
      </c>
      <c r="G34" s="6">
        <f>'2-1_Acceleration'!C27</f>
        <v>8.1220000000000001E-2</v>
      </c>
      <c r="H34">
        <f t="shared" si="12"/>
        <v>-0.4954515239783594</v>
      </c>
      <c r="I34">
        <f t="shared" si="13"/>
        <v>-0.14567158467511376</v>
      </c>
      <c r="J34">
        <f t="shared" si="14"/>
        <v>-0.37173685288586439</v>
      </c>
    </row>
    <row r="35" spans="1:10" x14ac:dyDescent="0.25">
      <c r="A35">
        <v>0.43633231300000003</v>
      </c>
      <c r="B35" s="5">
        <v>0.10421169700000001</v>
      </c>
      <c r="C35" s="5">
        <v>7.1819293000000006E-2</v>
      </c>
      <c r="D35" s="5">
        <v>0.107871893</v>
      </c>
      <c r="E35" s="6">
        <f>'2-1_Acceleration'!A28</f>
        <v>5.7540000000000001E-2</v>
      </c>
      <c r="F35" s="6">
        <f>'2-1_Acceleration'!B28</f>
        <v>6.4899999999999999E-2</v>
      </c>
      <c r="G35" s="6">
        <f>'2-1_Acceleration'!C28</f>
        <v>6.9379999999999997E-2</v>
      </c>
      <c r="H35">
        <f t="shared" si="12"/>
        <v>-0.44785468755968921</v>
      </c>
      <c r="I35">
        <f t="shared" si="13"/>
        <v>-9.6343095440942397E-2</v>
      </c>
      <c r="J35">
        <f t="shared" si="14"/>
        <v>-0.35682967944207672</v>
      </c>
    </row>
    <row r="36" spans="1:10" x14ac:dyDescent="0.25">
      <c r="A36">
        <v>0.52359877600000004</v>
      </c>
      <c r="B36" s="5">
        <v>9.6632271000000006E-2</v>
      </c>
      <c r="C36" s="5">
        <v>6.6401017000000007E-2</v>
      </c>
      <c r="D36" s="5">
        <v>9.9507069000000004E-2</v>
      </c>
      <c r="E36" s="6">
        <f>'2-1_Acceleration'!A29</f>
        <v>5.2139999999999999E-2</v>
      </c>
      <c r="F36" s="6">
        <f>'2-1_Acceleration'!B29</f>
        <v>6.2270000000000013E-2</v>
      </c>
      <c r="G36" s="6">
        <f>'2-1_Acceleration'!C29</f>
        <v>6.5769999999999995E-2</v>
      </c>
      <c r="H36">
        <f t="shared" si="12"/>
        <v>-0.46042870088399357</v>
      </c>
      <c r="I36">
        <f t="shared" si="13"/>
        <v>-6.2213158572556097E-2</v>
      </c>
      <c r="J36">
        <f t="shared" si="14"/>
        <v>-0.33904193278971978</v>
      </c>
    </row>
    <row r="37" spans="1:10" x14ac:dyDescent="0.25">
      <c r="A37">
        <v>0.61086523800000003</v>
      </c>
      <c r="B37" s="5">
        <v>9.6736048000000005E-2</v>
      </c>
      <c r="C37" s="5">
        <v>5.8162268000000003E-2</v>
      </c>
      <c r="D37" s="5">
        <v>9.8793607000000006E-2</v>
      </c>
      <c r="E37" s="6">
        <f>'2-1_Acceleration'!A30</f>
        <v>3.9409999999999987E-2</v>
      </c>
      <c r="F37" s="6">
        <f>'2-1_Acceleration'!B30</f>
        <v>5.6509999999999998E-2</v>
      </c>
      <c r="G37" s="6">
        <f>'2-1_Acceleration'!C30</f>
        <v>5.808E-2</v>
      </c>
      <c r="H37">
        <f t="shared" si="12"/>
        <v>-0.59260274928742196</v>
      </c>
      <c r="I37">
        <f t="shared" si="13"/>
        <v>-2.8407901837665707E-2</v>
      </c>
      <c r="J37">
        <f t="shared" si="14"/>
        <v>-0.41210770854838819</v>
      </c>
    </row>
    <row r="38" spans="1:10" x14ac:dyDescent="0.25">
      <c r="A38">
        <v>0.69813170099999999</v>
      </c>
      <c r="B38" s="5">
        <v>8.3372399999999999E-2</v>
      </c>
      <c r="C38" s="5">
        <v>5.6316040999999997E-2</v>
      </c>
      <c r="D38" s="5">
        <v>8.6108604000000005E-2</v>
      </c>
      <c r="E38" s="6">
        <f>'2-1_Acceleration'!A31</f>
        <v>3.8490000000000003E-2</v>
      </c>
      <c r="F38" s="6">
        <f>'2-1_Acceleration'!B31</f>
        <v>5.2470000000000003E-2</v>
      </c>
      <c r="G38" s="6">
        <f>'2-1_Acceleration'!C31</f>
        <v>5.3900000000000003E-2</v>
      </c>
      <c r="H38">
        <f t="shared" si="12"/>
        <v>-0.5383364278826086</v>
      </c>
      <c r="I38">
        <f t="shared" si="13"/>
        <v>-6.8293880956582065E-2</v>
      </c>
      <c r="J38">
        <f t="shared" si="14"/>
        <v>-0.37404629158777208</v>
      </c>
    </row>
    <row r="39" spans="1:10" x14ac:dyDescent="0.25">
      <c r="A39">
        <v>0.78539816299999998</v>
      </c>
      <c r="B39" s="5">
        <v>8.2268566000000001E-2</v>
      </c>
      <c r="C39" s="5">
        <v>4.9343469000000001E-2</v>
      </c>
      <c r="D39" s="5">
        <v>8.4053220999999997E-2</v>
      </c>
      <c r="E39" s="6">
        <f>'2-1_Acceleration'!A32</f>
        <v>3.678E-2</v>
      </c>
      <c r="F39" s="6">
        <f>'2-1_Acceleration'!B32</f>
        <v>5.3999999999999999E-2</v>
      </c>
      <c r="G39" s="6">
        <f>'2-1_Acceleration'!C32</f>
        <v>5.5100000000000003E-2</v>
      </c>
      <c r="H39">
        <f t="shared" si="12"/>
        <v>-0.55292766376892966</v>
      </c>
      <c r="I39">
        <f t="shared" si="13"/>
        <v>9.4369753371008391E-2</v>
      </c>
      <c r="J39">
        <f t="shared" si="14"/>
        <v>-0.34446295639283109</v>
      </c>
    </row>
    <row r="40" spans="1:10" x14ac:dyDescent="0.25">
      <c r="A40">
        <v>0.87266462600000005</v>
      </c>
      <c r="B40" s="5">
        <v>8.3951696000000006E-2</v>
      </c>
      <c r="C40" s="5">
        <v>5.5538905999999999E-2</v>
      </c>
      <c r="D40" s="5">
        <v>8.6621157000000004E-2</v>
      </c>
      <c r="E40" s="6">
        <f>'2-1_Acceleration'!A33</f>
        <v>3.1719999999999998E-2</v>
      </c>
      <c r="F40" s="6">
        <f>'2-1_Acceleration'!B33</f>
        <v>6.1100000000000002E-2</v>
      </c>
      <c r="G40" s="6">
        <f>'2-1_Acceleration'!C33</f>
        <v>6.164E-2</v>
      </c>
      <c r="H40">
        <f t="shared" si="12"/>
        <v>-0.62216367850388643</v>
      </c>
      <c r="I40">
        <f t="shared" si="13"/>
        <v>0.10012970007007345</v>
      </c>
      <c r="J40">
        <f t="shared" si="14"/>
        <v>-0.28839555906647613</v>
      </c>
    </row>
    <row r="41" spans="1:10" x14ac:dyDescent="0.25">
      <c r="A41">
        <v>0.95993108900000002</v>
      </c>
      <c r="B41" s="5">
        <v>8.8765075999999998E-2</v>
      </c>
      <c r="C41" s="5">
        <v>4.7363952000000001E-2</v>
      </c>
      <c r="D41" s="5">
        <v>9.0717792000000005E-2</v>
      </c>
      <c r="E41" s="6">
        <f>'2-1_Acceleration'!A34</f>
        <v>3.1949999999999999E-2</v>
      </c>
      <c r="F41" s="6">
        <f>'2-1_Acceleration'!B34</f>
        <v>6.404E-2</v>
      </c>
      <c r="G41" s="6">
        <f>'2-1_Acceleration'!C34</f>
        <v>6.4899999999999999E-2</v>
      </c>
      <c r="H41">
        <f t="shared" si="12"/>
        <v>-0.64006114296573124</v>
      </c>
      <c r="I41">
        <f t="shared" si="13"/>
        <v>0.35208312009099235</v>
      </c>
      <c r="J41">
        <f t="shared" si="14"/>
        <v>-0.28459458096158252</v>
      </c>
    </row>
    <row r="42" spans="1:10" x14ac:dyDescent="0.25">
      <c r="A42">
        <v>1.047197551</v>
      </c>
      <c r="B42" s="5">
        <v>8.8701158000000002E-2</v>
      </c>
      <c r="C42" s="5">
        <v>5.1556794000000003E-2</v>
      </c>
      <c r="D42" s="5">
        <v>9.1220534000000006E-2</v>
      </c>
      <c r="E42" s="6">
        <f>'2-1_Acceleration'!A35</f>
        <v>3.3619999999999997E-2</v>
      </c>
      <c r="F42" s="6">
        <f>'2-1_Acceleration'!B35</f>
        <v>7.0550000000000002E-2</v>
      </c>
      <c r="G42" s="6">
        <f>'2-1_Acceleration'!C35</f>
        <v>7.1510000000000004E-2</v>
      </c>
      <c r="H42">
        <f t="shared" si="12"/>
        <v>-0.62097450858533332</v>
      </c>
      <c r="I42">
        <f t="shared" si="13"/>
        <v>0.36839385319420748</v>
      </c>
      <c r="J42">
        <f t="shared" si="14"/>
        <v>-0.21607562613040612</v>
      </c>
    </row>
    <row r="43" spans="1:10" x14ac:dyDescent="0.25">
      <c r="A43">
        <v>1.134464014</v>
      </c>
      <c r="B43" s="5">
        <v>0.108524897</v>
      </c>
      <c r="C43" s="5">
        <v>5.3694586000000002E-2</v>
      </c>
      <c r="D43" s="5">
        <v>0.111301978</v>
      </c>
      <c r="E43" s="6">
        <f>'2-1_Acceleration'!A36</f>
        <v>3.0939999999999999E-2</v>
      </c>
      <c r="F43" s="6">
        <f>'2-1_Acceleration'!B36</f>
        <v>7.0150000000000004E-2</v>
      </c>
      <c r="G43" s="6">
        <f>'2-1_Acceleration'!C36</f>
        <v>7.0870000000000002E-2</v>
      </c>
      <c r="H43">
        <f t="shared" si="12"/>
        <v>-0.71490412932619507</v>
      </c>
      <c r="I43">
        <f t="shared" si="13"/>
        <v>0.30646318792736388</v>
      </c>
      <c r="J43">
        <f t="shared" si="14"/>
        <v>-0.36326378674060938</v>
      </c>
    </row>
    <row r="44" spans="1:10" x14ac:dyDescent="0.25">
      <c r="A44">
        <v>1.2217304760000001</v>
      </c>
      <c r="B44" s="5">
        <v>0.102688188</v>
      </c>
      <c r="C44" s="5">
        <v>5.3583073000000002E-2</v>
      </c>
      <c r="D44" s="5">
        <v>0.107157216</v>
      </c>
      <c r="E44" s="6">
        <f>'2-1_Acceleration'!A37</f>
        <v>3.2000000000000001E-2</v>
      </c>
      <c r="F44" s="6">
        <f>'2-1_Acceleration'!B37</f>
        <v>6.5799999999999997E-2</v>
      </c>
      <c r="G44" s="6">
        <f>'2-1_Acceleration'!C37</f>
        <v>6.6670000000000007E-2</v>
      </c>
      <c r="H44">
        <f t="shared" si="12"/>
        <v>-0.68837701177471355</v>
      </c>
      <c r="I44">
        <f t="shared" si="13"/>
        <v>0.22799974536734754</v>
      </c>
      <c r="J44">
        <f t="shared" si="14"/>
        <v>-0.3778300473950349</v>
      </c>
    </row>
    <row r="45" spans="1:10" x14ac:dyDescent="0.25">
      <c r="A45">
        <v>1.308996939</v>
      </c>
      <c r="B45" s="5">
        <v>0.117323212</v>
      </c>
      <c r="C45" s="5">
        <v>5.9746398999999999E-2</v>
      </c>
      <c r="D45" s="5">
        <v>0.122005851</v>
      </c>
      <c r="E45" s="6">
        <f>'2-1_Acceleration'!A38</f>
        <v>3.4660000000000003E-2</v>
      </c>
      <c r="F45" s="6">
        <f>'2-1_Acceleration'!B38</f>
        <v>8.1140000000000004E-2</v>
      </c>
      <c r="G45" s="6">
        <f>'2-1_Acceleration'!C38</f>
        <v>8.201E-2</v>
      </c>
      <c r="H45">
        <f t="shared" si="12"/>
        <v>-0.70457678911825217</v>
      </c>
      <c r="I45">
        <f t="shared" si="13"/>
        <v>0.35807347987616805</v>
      </c>
      <c r="J45">
        <f t="shared" si="14"/>
        <v>-0.32781912237963079</v>
      </c>
    </row>
    <row r="46" spans="1:10" x14ac:dyDescent="0.25">
      <c r="A46">
        <v>1.396263402</v>
      </c>
      <c r="B46" s="5">
        <v>0.12884901300000001</v>
      </c>
      <c r="C46" s="5">
        <v>6.9169681999999996E-2</v>
      </c>
      <c r="D46" s="5">
        <v>0.135388114</v>
      </c>
      <c r="E46" s="6">
        <f>'2-1_Acceleration'!A39</f>
        <v>3.9399999999999998E-2</v>
      </c>
      <c r="F46" s="6">
        <f>'2-1_Acceleration'!B39</f>
        <v>8.5720000000000005E-2</v>
      </c>
      <c r="G46" s="6">
        <f>'2-1_Acceleration'!C39</f>
        <v>8.6609999999999993E-2</v>
      </c>
      <c r="H46">
        <f t="shared" si="12"/>
        <v>-0.69421574071351255</v>
      </c>
      <c r="I46">
        <f t="shared" si="13"/>
        <v>0.2392712749496233</v>
      </c>
      <c r="J46">
        <f t="shared" si="14"/>
        <v>-0.36028357703542579</v>
      </c>
    </row>
    <row r="47" spans="1:10" x14ac:dyDescent="0.25">
      <c r="A47">
        <v>1.4835298640000001</v>
      </c>
      <c r="B47" s="5">
        <v>0.17299767199999999</v>
      </c>
      <c r="C47" s="5">
        <v>7.9331409000000006E-2</v>
      </c>
      <c r="D47" s="5">
        <v>0.182908398</v>
      </c>
      <c r="E47" s="6">
        <f>'2-1_Acceleration'!A40</f>
        <v>4.2610000000000002E-2</v>
      </c>
      <c r="F47" s="6">
        <f>'2-1_Acceleration'!B40</f>
        <v>8.7459999999999996E-2</v>
      </c>
      <c r="G47" s="6">
        <f>'2-1_Acceleration'!C40</f>
        <v>8.8439999999999991E-2</v>
      </c>
      <c r="H47">
        <f t="shared" si="12"/>
        <v>-0.75369610754068406</v>
      </c>
      <c r="I47">
        <f t="shared" si="13"/>
        <v>0.10246371648334129</v>
      </c>
      <c r="J47">
        <f t="shared" si="14"/>
        <v>-0.51647928161286505</v>
      </c>
    </row>
    <row r="48" spans="1:10" x14ac:dyDescent="0.25">
      <c r="A48">
        <v>1.570796327</v>
      </c>
      <c r="B48" s="5">
        <v>0.16496813900000001</v>
      </c>
      <c r="C48" s="5">
        <v>8.6099365999999997E-2</v>
      </c>
      <c r="D48" s="5">
        <v>0.175746287</v>
      </c>
      <c r="E48" s="6">
        <f>'2-1_Acceleration'!A41</f>
        <v>4.4650000000000002E-2</v>
      </c>
      <c r="F48" s="6">
        <f>'2-1_Acceleration'!B41</f>
        <v>9.126999999999999E-2</v>
      </c>
      <c r="G48" s="6">
        <f>'2-1_Acceleration'!C41</f>
        <v>9.2499999999999999E-2</v>
      </c>
      <c r="H48">
        <f t="shared" si="12"/>
        <v>-0.72934167609176948</v>
      </c>
      <c r="I48">
        <f t="shared" si="13"/>
        <v>6.0054263349627844E-2</v>
      </c>
      <c r="J48">
        <f t="shared" si="14"/>
        <v>-0.47367309102809096</v>
      </c>
    </row>
    <row r="55" spans="1:10" x14ac:dyDescent="0.25">
      <c r="A55" t="s">
        <v>104</v>
      </c>
    </row>
    <row r="56" spans="1:10" x14ac:dyDescent="0.25">
      <c r="A56" t="s">
        <v>95</v>
      </c>
      <c r="B56" s="5" t="s">
        <v>96</v>
      </c>
      <c r="E56" s="6" t="s">
        <v>97</v>
      </c>
      <c r="H56" t="s">
        <v>98</v>
      </c>
    </row>
    <row r="57" spans="1:10" x14ac:dyDescent="0.25">
      <c r="A57" t="s">
        <v>99</v>
      </c>
      <c r="B57" s="5" t="s">
        <v>100</v>
      </c>
      <c r="C57" s="5" t="s">
        <v>101</v>
      </c>
      <c r="D57" s="5" t="s">
        <v>102</v>
      </c>
      <c r="E57" s="6" t="s">
        <v>100</v>
      </c>
      <c r="F57" s="6" t="s">
        <v>101</v>
      </c>
      <c r="G57" s="6" t="s">
        <v>102</v>
      </c>
      <c r="H57" t="s">
        <v>100</v>
      </c>
      <c r="I57" t="s">
        <v>101</v>
      </c>
      <c r="J57" t="s">
        <v>102</v>
      </c>
    </row>
    <row r="58" spans="1:10" x14ac:dyDescent="0.25">
      <c r="A58">
        <v>0</v>
      </c>
      <c r="B58" s="5">
        <v>0.131909159254782</v>
      </c>
      <c r="C58" s="5">
        <v>5.8929978706446999E-2</v>
      </c>
      <c r="D58" s="5">
        <v>0.13358617856798699</v>
      </c>
      <c r="E58" s="6">
        <f>'3-1_Acceleration'!A23</f>
        <v>4.8039999999999999E-2</v>
      </c>
      <c r="F58" s="6">
        <f>'3-1_Acceleration'!B23</f>
        <v>8.0260000000000012E-2</v>
      </c>
      <c r="G58" s="6">
        <f>'3-1_Acceleration'!C23</f>
        <v>8.0590000000000009E-2</v>
      </c>
      <c r="H58">
        <f t="shared" ref="H58:H76" si="15">(E58-B58)/B58</f>
        <v>-0.63580997505100512</v>
      </c>
      <c r="I58">
        <f t="shared" ref="I58:I76" si="16">(F58-C58)/C58</f>
        <v>0.36195535382434285</v>
      </c>
      <c r="J58">
        <f t="shared" ref="J58:J76" si="17">(G58-D58)/D58</f>
        <v>-0.39671902539689202</v>
      </c>
    </row>
    <row r="59" spans="1:10" x14ac:dyDescent="0.25">
      <c r="A59">
        <v>8.7266463000000002E-2</v>
      </c>
      <c r="B59" s="5">
        <v>0.12898370366826101</v>
      </c>
      <c r="C59" s="5">
        <v>5.1537770390811401E-2</v>
      </c>
      <c r="D59" s="5">
        <v>0.12966659916158399</v>
      </c>
      <c r="E59" s="6">
        <f>'3-1_Acceleration'!A24</f>
        <v>4.6510000000000003E-2</v>
      </c>
      <c r="F59" s="6">
        <f>'3-1_Acceleration'!B24</f>
        <v>7.9150000000000012E-2</v>
      </c>
      <c r="G59" s="6">
        <f>'3-1_Acceleration'!C24</f>
        <v>7.9439999999999997E-2</v>
      </c>
      <c r="H59">
        <f t="shared" si="15"/>
        <v>-0.6394118119012836</v>
      </c>
      <c r="I59">
        <f t="shared" si="16"/>
        <v>0.53576686379338523</v>
      </c>
      <c r="J59">
        <f t="shared" si="17"/>
        <v>-0.38735186614244532</v>
      </c>
    </row>
    <row r="60" spans="1:10" x14ac:dyDescent="0.25">
      <c r="A60">
        <v>0.17453292500000001</v>
      </c>
      <c r="B60" s="5">
        <v>0.118551883928231</v>
      </c>
      <c r="C60" s="5">
        <v>5.8047353042828001E-2</v>
      </c>
      <c r="D60" s="5">
        <v>0.119775740231519</v>
      </c>
      <c r="E60" s="6">
        <f>'3-1_Acceleration'!A25</f>
        <v>4.6549999999999987E-2</v>
      </c>
      <c r="F60" s="6">
        <f>'3-1_Acceleration'!B25</f>
        <v>7.3849999999999999E-2</v>
      </c>
      <c r="G60" s="6">
        <f>'3-1_Acceleration'!C25</f>
        <v>7.443000000000001E-2</v>
      </c>
      <c r="H60">
        <f t="shared" si="15"/>
        <v>-0.60734491551243119</v>
      </c>
      <c r="I60">
        <f t="shared" si="16"/>
        <v>0.27223716722298474</v>
      </c>
      <c r="J60">
        <f t="shared" si="17"/>
        <v>-0.3785886870235034</v>
      </c>
    </row>
    <row r="61" spans="1:10" x14ac:dyDescent="0.25">
      <c r="A61">
        <v>0.26179938800000002</v>
      </c>
      <c r="B61" s="5">
        <v>0.12546483785543</v>
      </c>
      <c r="C61" s="5">
        <v>5.7835183041979599E-2</v>
      </c>
      <c r="D61" s="5">
        <v>0.12658099419575999</v>
      </c>
      <c r="E61" s="6">
        <f>'3-1_Acceleration'!A26</f>
        <v>4.5539999999999997E-2</v>
      </c>
      <c r="F61" s="6">
        <f>'3-1_Acceleration'!B26</f>
        <v>7.7959999999999988E-2</v>
      </c>
      <c r="G61" s="6">
        <f>'3-1_Acceleration'!C26</f>
        <v>7.8400000000000011E-2</v>
      </c>
      <c r="H61">
        <f t="shared" si="15"/>
        <v>-0.63702977839516595</v>
      </c>
      <c r="I61">
        <f t="shared" si="16"/>
        <v>0.34796841471760909</v>
      </c>
      <c r="J61">
        <f t="shared" si="17"/>
        <v>-0.38063371600042206</v>
      </c>
    </row>
    <row r="62" spans="1:10" x14ac:dyDescent="0.25">
      <c r="A62">
        <v>0.34906585000000001</v>
      </c>
      <c r="B62" s="5">
        <v>0.109851110046099</v>
      </c>
      <c r="C62" s="5">
        <v>5.5763385548076499E-2</v>
      </c>
      <c r="D62" s="5">
        <v>0.11101559533019099</v>
      </c>
      <c r="E62" s="6">
        <f>'3-1_Acceleration'!A27</f>
        <v>4.4420000000000001E-2</v>
      </c>
      <c r="F62" s="6">
        <f>'3-1_Acceleration'!B27</f>
        <v>7.6219999999999996E-2</v>
      </c>
      <c r="G62" s="6">
        <f>'3-1_Acceleration'!C27</f>
        <v>7.664E-2</v>
      </c>
      <c r="H62">
        <f t="shared" si="15"/>
        <v>-0.59563449125494361</v>
      </c>
      <c r="I62">
        <f t="shared" si="16"/>
        <v>0.3668467086577229</v>
      </c>
      <c r="J62">
        <f t="shared" si="17"/>
        <v>-0.30964654315412615</v>
      </c>
    </row>
    <row r="63" spans="1:10" x14ac:dyDescent="0.25">
      <c r="A63">
        <v>0.43633231300000003</v>
      </c>
      <c r="B63" s="5">
        <v>0.103682403408451</v>
      </c>
      <c r="C63" s="5">
        <v>5.3359426887002501E-2</v>
      </c>
      <c r="D63" s="5">
        <v>0.10498600694860399</v>
      </c>
      <c r="E63" s="6">
        <f>'3-1_Acceleration'!A28</f>
        <v>4.1149999999999999E-2</v>
      </c>
      <c r="F63" s="6">
        <f>'3-1_Acceleration'!B28</f>
        <v>6.4019999999999994E-2</v>
      </c>
      <c r="G63" s="6">
        <f>'3-1_Acceleration'!C28</f>
        <v>6.4299999999999996E-2</v>
      </c>
      <c r="H63">
        <f t="shared" si="15"/>
        <v>-0.60311491007888884</v>
      </c>
      <c r="I63">
        <f t="shared" si="16"/>
        <v>0.1997879987649237</v>
      </c>
      <c r="J63">
        <f t="shared" si="17"/>
        <v>-0.38753742647362399</v>
      </c>
    </row>
    <row r="64" spans="1:10" x14ac:dyDescent="0.25">
      <c r="A64">
        <v>0.52359877600000004</v>
      </c>
      <c r="B64" s="5">
        <v>9.5155221765517495E-2</v>
      </c>
      <c r="C64" s="5">
        <v>4.4559973968942103E-2</v>
      </c>
      <c r="D64" s="5">
        <v>9.6144885824918702E-2</v>
      </c>
      <c r="E64" s="6">
        <f>'3-1_Acceleration'!A29</f>
        <v>3.7350000000000001E-2</v>
      </c>
      <c r="F64" s="6">
        <f>'3-1_Acceleration'!B29</f>
        <v>6.0339999999999998E-2</v>
      </c>
      <c r="G64" s="6">
        <f>'3-1_Acceleration'!C29</f>
        <v>6.062E-2</v>
      </c>
      <c r="H64">
        <f t="shared" si="15"/>
        <v>-0.60748344329396586</v>
      </c>
      <c r="I64">
        <f t="shared" si="16"/>
        <v>0.35413005496943128</v>
      </c>
      <c r="J64">
        <f t="shared" si="17"/>
        <v>-0.36949324470164807</v>
      </c>
    </row>
    <row r="65" spans="1:10" x14ac:dyDescent="0.25">
      <c r="A65">
        <v>0.61086523800000003</v>
      </c>
      <c r="B65" s="5">
        <v>9.6461739738963298E-2</v>
      </c>
      <c r="C65" s="5">
        <v>4.1297125367470301E-2</v>
      </c>
      <c r="D65" s="5">
        <v>9.7416716702063103E-2</v>
      </c>
      <c r="E65" s="6">
        <f>'3-1_Acceleration'!A30</f>
        <v>3.3320000000000002E-2</v>
      </c>
      <c r="F65" s="6">
        <f>'3-1_Acceleration'!B30</f>
        <v>4.931E-2</v>
      </c>
      <c r="G65" s="6">
        <f>'3-1_Acceleration'!C30</f>
        <v>4.9529999999999998E-2</v>
      </c>
      <c r="H65">
        <f t="shared" si="15"/>
        <v>-0.65457807323227013</v>
      </c>
      <c r="I65">
        <f t="shared" si="16"/>
        <v>0.19402984012154587</v>
      </c>
      <c r="J65">
        <f t="shared" si="17"/>
        <v>-0.49156570169079566</v>
      </c>
    </row>
    <row r="66" spans="1:10" x14ac:dyDescent="0.25">
      <c r="A66">
        <v>0.69813170099999999</v>
      </c>
      <c r="B66" s="5">
        <v>8.6638852201837396E-2</v>
      </c>
      <c r="C66" s="5">
        <v>4.1365270696212902E-2</v>
      </c>
      <c r="D66" s="5">
        <v>8.7891175624806597E-2</v>
      </c>
      <c r="E66" s="6">
        <f>'3-1_Acceleration'!A31</f>
        <v>3.0329999999999999E-2</v>
      </c>
      <c r="F66" s="6">
        <f>'3-1_Acceleration'!B31</f>
        <v>5.5010000000000003E-2</v>
      </c>
      <c r="G66" s="6">
        <f>'3-1_Acceleration'!C31</f>
        <v>5.525E-2</v>
      </c>
      <c r="H66">
        <f t="shared" si="15"/>
        <v>-0.64992611017812196</v>
      </c>
      <c r="I66">
        <f t="shared" si="16"/>
        <v>0.32985954338348644</v>
      </c>
      <c r="J66">
        <f t="shared" si="17"/>
        <v>-0.37138171600009728</v>
      </c>
    </row>
    <row r="67" spans="1:10" x14ac:dyDescent="0.25">
      <c r="A67">
        <v>0.78539816299999998</v>
      </c>
      <c r="B67" s="5">
        <v>8.3705154307353202E-2</v>
      </c>
      <c r="C67" s="5">
        <v>3.8890644140651999E-2</v>
      </c>
      <c r="D67" s="5">
        <v>8.5070690443153699E-2</v>
      </c>
      <c r="E67" s="6">
        <f>'3-1_Acceleration'!A32</f>
        <v>2.8639999999999999E-2</v>
      </c>
      <c r="F67" s="6">
        <f>'3-1_Acceleration'!B32</f>
        <v>4.6330000000000003E-2</v>
      </c>
      <c r="G67" s="6">
        <f>'3-1_Acceleration'!C32</f>
        <v>4.675E-2</v>
      </c>
      <c r="H67">
        <f t="shared" si="15"/>
        <v>-0.657846637557849</v>
      </c>
      <c r="I67">
        <f t="shared" si="16"/>
        <v>0.19128908825584917</v>
      </c>
      <c r="J67">
        <f t="shared" si="17"/>
        <v>-0.45045702866089365</v>
      </c>
    </row>
    <row r="68" spans="1:10" x14ac:dyDescent="0.25">
      <c r="A68">
        <v>0.87266462600000005</v>
      </c>
      <c r="B68" s="5">
        <v>7.7279307898750899E-2</v>
      </c>
      <c r="C68" s="5">
        <v>3.7674369178060801E-2</v>
      </c>
      <c r="D68" s="5">
        <v>7.87923861843388E-2</v>
      </c>
      <c r="E68" s="6">
        <f>'3-1_Acceleration'!A33</f>
        <v>2.4250000000000001E-2</v>
      </c>
      <c r="F68" s="6">
        <f>'3-1_Acceleration'!B33</f>
        <v>4.7899999999999998E-2</v>
      </c>
      <c r="G68" s="6">
        <f>'3-1_Acceleration'!C33</f>
        <v>4.8149999999999998E-2</v>
      </c>
      <c r="H68">
        <f t="shared" si="15"/>
        <v>-0.68620319385142992</v>
      </c>
      <c r="I68">
        <f t="shared" si="16"/>
        <v>0.2714214211154985</v>
      </c>
      <c r="J68">
        <f t="shared" si="17"/>
        <v>-0.38890034517611105</v>
      </c>
    </row>
    <row r="69" spans="1:10" x14ac:dyDescent="0.25">
      <c r="A69">
        <v>0.95993108900000002</v>
      </c>
      <c r="B69" s="5">
        <v>8.5003022373929496E-2</v>
      </c>
      <c r="C69" s="5">
        <v>3.7717864736939499E-2</v>
      </c>
      <c r="D69" s="5">
        <v>8.65759036183254E-2</v>
      </c>
      <c r="E69" s="6">
        <f>'3-1_Acceleration'!A34</f>
        <v>2.359E-2</v>
      </c>
      <c r="F69" s="6">
        <f>'3-1_Acceleration'!B34</f>
        <v>4.8500000000000001E-2</v>
      </c>
      <c r="G69" s="6">
        <f>'3-1_Acceleration'!C34</f>
        <v>4.8800000000000003E-2</v>
      </c>
      <c r="H69">
        <f t="shared" si="15"/>
        <v>-0.72248045609216982</v>
      </c>
      <c r="I69">
        <f t="shared" si="16"/>
        <v>0.28586282225305487</v>
      </c>
      <c r="J69">
        <f t="shared" si="17"/>
        <v>-0.43633276742755733</v>
      </c>
    </row>
    <row r="70" spans="1:10" x14ac:dyDescent="0.25">
      <c r="A70">
        <v>1.047197551</v>
      </c>
      <c r="B70" s="5">
        <v>8.4245058862609107E-2</v>
      </c>
      <c r="C70" s="5">
        <v>3.4952894680732503E-2</v>
      </c>
      <c r="D70" s="5">
        <v>8.5811466447113696E-2</v>
      </c>
      <c r="E70" s="6">
        <f>'3-1_Acceleration'!A35</f>
        <v>2.3800000000000002E-2</v>
      </c>
      <c r="F70" s="6">
        <f>'3-1_Acceleration'!B35</f>
        <v>5.4479999999999987E-2</v>
      </c>
      <c r="G70" s="6">
        <f>'3-1_Acceleration'!C35</f>
        <v>5.4739999999999997E-2</v>
      </c>
      <c r="H70">
        <f t="shared" si="15"/>
        <v>-0.71749084965547727</v>
      </c>
      <c r="I70">
        <f t="shared" si="16"/>
        <v>0.55866918885066308</v>
      </c>
      <c r="J70">
        <f t="shared" si="17"/>
        <v>-0.36208991331319684</v>
      </c>
    </row>
    <row r="71" spans="1:10" x14ac:dyDescent="0.25">
      <c r="A71">
        <v>1.134464014</v>
      </c>
      <c r="B71" s="5">
        <v>8.8504795253157895E-2</v>
      </c>
      <c r="C71" s="5">
        <v>3.5459123608468097E-2</v>
      </c>
      <c r="D71" s="5">
        <v>8.9834381647751704E-2</v>
      </c>
      <c r="E71" s="6">
        <f>'3-1_Acceleration'!A36</f>
        <v>2.4709999999999999E-2</v>
      </c>
      <c r="F71" s="6">
        <f>'3-1_Acceleration'!B36</f>
        <v>5.203E-2</v>
      </c>
      <c r="G71" s="6">
        <f>'3-1_Acceleration'!C36</f>
        <v>5.2260000000000001E-2</v>
      </c>
      <c r="H71">
        <f t="shared" si="15"/>
        <v>-0.72080608819759595</v>
      </c>
      <c r="I71">
        <f t="shared" si="16"/>
        <v>0.46732334883692844</v>
      </c>
      <c r="J71">
        <f t="shared" si="17"/>
        <v>-0.41826281829471557</v>
      </c>
    </row>
    <row r="72" spans="1:10" x14ac:dyDescent="0.25">
      <c r="A72">
        <v>1.2217304760000001</v>
      </c>
      <c r="B72" s="5">
        <v>8.61500564074833E-2</v>
      </c>
      <c r="C72" s="5">
        <v>4.0025310074388198E-2</v>
      </c>
      <c r="D72" s="5">
        <v>8.7846676258970594E-2</v>
      </c>
      <c r="E72" s="6">
        <f>'3-1_Acceleration'!A37</f>
        <v>2.1440000000000001E-2</v>
      </c>
      <c r="F72" s="6">
        <f>'3-1_Acceleration'!B37</f>
        <v>5.2499999999999998E-2</v>
      </c>
      <c r="G72" s="6">
        <f>'3-1_Acceleration'!C37</f>
        <v>5.2760000000000001E-2</v>
      </c>
      <c r="H72">
        <f t="shared" si="15"/>
        <v>-0.75113190990159762</v>
      </c>
      <c r="I72">
        <f t="shared" si="16"/>
        <v>0.31167003834391854</v>
      </c>
      <c r="J72">
        <f t="shared" si="17"/>
        <v>-0.39940812507846779</v>
      </c>
    </row>
    <row r="73" spans="1:10" x14ac:dyDescent="0.25">
      <c r="A73">
        <v>1.308996939</v>
      </c>
      <c r="B73" s="5">
        <v>9.81709786644379E-2</v>
      </c>
      <c r="C73" s="5">
        <v>4.0218462935227503E-2</v>
      </c>
      <c r="D73" s="5">
        <v>0.100015712124532</v>
      </c>
      <c r="E73" s="6">
        <f>'3-1_Acceleration'!A38</f>
        <v>2.8510000000000001E-2</v>
      </c>
      <c r="F73" s="6">
        <f>'3-1_Acceleration'!B38</f>
        <v>6.1899999999999997E-2</v>
      </c>
      <c r="G73" s="6">
        <f>'3-1_Acceleration'!C38</f>
        <v>6.2170000000000003E-2</v>
      </c>
      <c r="H73">
        <f t="shared" si="15"/>
        <v>-0.70958830819593688</v>
      </c>
      <c r="I73">
        <f t="shared" si="16"/>
        <v>0.53909412449926208</v>
      </c>
      <c r="J73">
        <f t="shared" si="17"/>
        <v>-0.37839766693266536</v>
      </c>
    </row>
    <row r="74" spans="1:10" x14ac:dyDescent="0.25">
      <c r="A74">
        <v>1.396263402</v>
      </c>
      <c r="B74" s="5">
        <v>0.118880303918294</v>
      </c>
      <c r="C74" s="5">
        <v>4.4338198993811397E-2</v>
      </c>
      <c r="D74" s="5">
        <v>0.120565536929489</v>
      </c>
      <c r="E74" s="6">
        <f>'3-1_Acceleration'!A39</f>
        <v>2.7699999999999999E-2</v>
      </c>
      <c r="F74" s="6">
        <f>'3-1_Acceleration'!B39</f>
        <v>8.020999999999999E-2</v>
      </c>
      <c r="G74" s="6">
        <f>'3-1_Acceleration'!C39</f>
        <v>8.0599999999999991E-2</v>
      </c>
      <c r="H74">
        <f t="shared" si="15"/>
        <v>-0.76699252031658571</v>
      </c>
      <c r="I74">
        <f t="shared" si="16"/>
        <v>0.80904957396207</v>
      </c>
      <c r="J74">
        <f t="shared" si="17"/>
        <v>-0.33148392108818187</v>
      </c>
    </row>
    <row r="75" spans="1:10" x14ac:dyDescent="0.25">
      <c r="A75">
        <v>1.4835298640000001</v>
      </c>
      <c r="B75" s="5">
        <v>0.110334335989004</v>
      </c>
      <c r="C75" s="5">
        <v>4.6123161941655499E-2</v>
      </c>
      <c r="D75" s="5">
        <v>0.112551701534839</v>
      </c>
      <c r="E75" s="6">
        <f>'3-1_Acceleration'!A40</f>
        <v>2.802E-2</v>
      </c>
      <c r="F75" s="6">
        <f>'3-1_Acceleration'!B40</f>
        <v>7.5379999999999989E-2</v>
      </c>
      <c r="G75" s="6">
        <f>'3-1_Acceleration'!C40</f>
        <v>7.578E-2</v>
      </c>
      <c r="H75">
        <f t="shared" si="15"/>
        <v>-0.74604460389563143</v>
      </c>
      <c r="I75">
        <f t="shared" si="16"/>
        <v>0.63431986938262308</v>
      </c>
      <c r="J75">
        <f t="shared" si="17"/>
        <v>-0.32670942361059524</v>
      </c>
    </row>
    <row r="76" spans="1:10" x14ac:dyDescent="0.25">
      <c r="A76">
        <v>1.570796327</v>
      </c>
      <c r="B76" s="5">
        <v>0.12877187494522599</v>
      </c>
      <c r="C76" s="5">
        <v>4.5901941428107697E-2</v>
      </c>
      <c r="D76" s="5">
        <v>0.13088670980851999</v>
      </c>
      <c r="E76" s="6">
        <f>'3-1_Acceleration'!A41</f>
        <v>2.9929999999999998E-2</v>
      </c>
      <c r="F76" s="6">
        <f>'3-1_Acceleration'!B41</f>
        <v>9.1569999999999999E-2</v>
      </c>
      <c r="G76" s="6">
        <f>'3-1_Acceleration'!C41</f>
        <v>9.1980000000000006E-2</v>
      </c>
      <c r="H76">
        <f t="shared" si="15"/>
        <v>-0.76757347042798796</v>
      </c>
      <c r="I76">
        <f t="shared" si="16"/>
        <v>0.99490472845071909</v>
      </c>
      <c r="J76">
        <f t="shared" si="17"/>
        <v>-0.29725485395299756</v>
      </c>
    </row>
    <row r="80" spans="1:10" ht="15" thickBot="1" x14ac:dyDescent="0.3"/>
    <row r="81" spans="1:11" ht="15.6" thickTop="1" thickBot="1" x14ac:dyDescent="0.3">
      <c r="A81" s="40" t="s">
        <v>115</v>
      </c>
      <c r="B81" s="40"/>
      <c r="C81" s="40" t="s">
        <v>116</v>
      </c>
      <c r="D81" s="40"/>
      <c r="E81" s="40"/>
      <c r="F81" s="40"/>
      <c r="G81" s="42" t="s">
        <v>117</v>
      </c>
      <c r="H81" s="42"/>
      <c r="I81" s="40" t="s">
        <v>118</v>
      </c>
      <c r="J81" s="40"/>
      <c r="K81" s="40"/>
    </row>
    <row r="82" spans="1:11" ht="15.6" thickTop="1" thickBot="1" x14ac:dyDescent="0.3">
      <c r="A82" s="41"/>
      <c r="B82" s="41"/>
      <c r="C82" s="20" t="e" vm="1">
        <v>#VALUE!</v>
      </c>
      <c r="D82" s="19" t="s">
        <v>119</v>
      </c>
      <c r="E82" s="21" t="e" vm="2">
        <v>#VALUE!</v>
      </c>
      <c r="F82" s="19" t="s">
        <v>119</v>
      </c>
      <c r="G82" s="20" t="e" vm="3">
        <v>#VALUE!</v>
      </c>
      <c r="H82" s="22" t="s">
        <v>119</v>
      </c>
      <c r="I82" s="41" t="s">
        <v>120</v>
      </c>
      <c r="J82" s="41"/>
      <c r="K82" s="22" t="s">
        <v>121</v>
      </c>
    </row>
    <row r="83" spans="1:11" ht="15" thickBot="1" x14ac:dyDescent="0.3">
      <c r="A83" s="18" t="s">
        <v>122</v>
      </c>
      <c r="B83" s="18" t="s">
        <v>124</v>
      </c>
      <c r="C83" s="18">
        <v>0.13800000000000001</v>
      </c>
      <c r="D83" s="18" t="s">
        <v>125</v>
      </c>
      <c r="E83" s="18">
        <v>0.14499999999999999</v>
      </c>
      <c r="F83" s="18" t="s">
        <v>125</v>
      </c>
      <c r="G83" s="18">
        <v>0.14599999999999999</v>
      </c>
      <c r="H83" s="18" t="s">
        <v>125</v>
      </c>
      <c r="I83" s="26">
        <f>(G83-C83)/C83*100</f>
        <v>5.7971014492753472</v>
      </c>
      <c r="J83" s="48">
        <f>(G83-E83)/E83*100</f>
        <v>0.68965517241379382</v>
      </c>
      <c r="K83" s="48"/>
    </row>
    <row r="84" spans="1:11" ht="17.399999999999999" thickBot="1" x14ac:dyDescent="0.3">
      <c r="A84" s="18" t="s">
        <v>123</v>
      </c>
      <c r="B84" s="18" t="s">
        <v>126</v>
      </c>
      <c r="C84" s="18">
        <v>8.4000000000000005E-2</v>
      </c>
      <c r="D84" s="18">
        <v>10</v>
      </c>
      <c r="E84" s="18">
        <v>0.09</v>
      </c>
      <c r="F84" s="18">
        <v>15</v>
      </c>
      <c r="G84" s="18">
        <v>9.2999999999999999E-2</v>
      </c>
      <c r="H84" s="18">
        <v>90</v>
      </c>
      <c r="I84" s="26">
        <f t="shared" ref="I84:I85" si="18">(G84-C84)/C84*100</f>
        <v>10.714285714285706</v>
      </c>
      <c r="J84" s="48">
        <f>(G84-E84)/E84*100</f>
        <v>3.3333333333333366</v>
      </c>
      <c r="K84" s="48"/>
    </row>
    <row r="85" spans="1:11" ht="15" thickBot="1" x14ac:dyDescent="0.3">
      <c r="A85" s="23"/>
      <c r="B85" s="24" t="s">
        <v>127</v>
      </c>
      <c r="C85" s="24">
        <v>7.1999999999999995E-2</v>
      </c>
      <c r="D85" s="24">
        <v>90</v>
      </c>
      <c r="E85" s="24">
        <v>9.1999999999999998E-2</v>
      </c>
      <c r="F85" s="24">
        <v>90</v>
      </c>
      <c r="G85" s="24">
        <v>9.1999999999999998E-2</v>
      </c>
      <c r="H85" s="24">
        <v>90</v>
      </c>
      <c r="I85" s="26">
        <f t="shared" si="18"/>
        <v>27.777777777777786</v>
      </c>
      <c r="J85" s="48">
        <f>(G85-E85)/E85*100</f>
        <v>0</v>
      </c>
      <c r="K85" s="48"/>
    </row>
    <row r="86" spans="1:11" ht="15" thickTop="1" x14ac:dyDescent="0.25"/>
    <row r="96" spans="1:11" ht="15" thickBot="1" x14ac:dyDescent="0.3"/>
    <row r="97" spans="1:12" ht="15.6" thickTop="1" thickBot="1" x14ac:dyDescent="0.3">
      <c r="A97" s="43" t="s">
        <v>115</v>
      </c>
      <c r="B97" s="43"/>
      <c r="C97" s="43" t="s">
        <v>128</v>
      </c>
      <c r="D97" s="43"/>
      <c r="E97" s="43"/>
      <c r="F97" s="43"/>
      <c r="G97" s="45" t="s">
        <v>117</v>
      </c>
      <c r="H97" s="45"/>
      <c r="I97" s="45"/>
      <c r="J97" s="28" t="s">
        <v>129</v>
      </c>
      <c r="K97" s="28" t="s">
        <v>129</v>
      </c>
      <c r="L97" s="28" t="s">
        <v>129</v>
      </c>
    </row>
    <row r="98" spans="1:12" ht="15.6" thickTop="1" thickBot="1" x14ac:dyDescent="0.3">
      <c r="A98" s="44"/>
      <c r="B98" s="44"/>
      <c r="C98" s="30" t="e" vm="4">
        <v>#VALUE!</v>
      </c>
      <c r="D98" s="29" t="s">
        <v>119</v>
      </c>
      <c r="E98" s="31" t="e" vm="5">
        <v>#VALUE!</v>
      </c>
      <c r="F98" s="29" t="s">
        <v>119</v>
      </c>
      <c r="G98" s="46" t="e" vm="6">
        <v>#VALUE!</v>
      </c>
      <c r="H98" s="46"/>
      <c r="I98" s="32" t="s">
        <v>119</v>
      </c>
      <c r="J98" s="32" t="s">
        <v>130</v>
      </c>
      <c r="K98" s="32" t="s">
        <v>130</v>
      </c>
      <c r="L98" s="32" t="s">
        <v>130</v>
      </c>
    </row>
    <row r="99" spans="1:12" x14ac:dyDescent="0.25">
      <c r="A99" s="27" t="s">
        <v>131</v>
      </c>
      <c r="B99" s="27" t="s">
        <v>124</v>
      </c>
      <c r="C99" s="27">
        <v>0.38400000000000001</v>
      </c>
      <c r="D99" s="27" t="s">
        <v>125</v>
      </c>
      <c r="E99" s="27">
        <v>0.40400000000000003</v>
      </c>
      <c r="F99" s="27" t="s">
        <v>125</v>
      </c>
      <c r="G99" s="27">
        <v>0.40600000000000003</v>
      </c>
      <c r="H99" s="47" t="s">
        <v>125</v>
      </c>
      <c r="I99" s="47"/>
      <c r="J99" s="35">
        <f>(E99-C99)/C99*100</f>
        <v>5.2083333333333375</v>
      </c>
      <c r="K99" s="36">
        <f>(G99-C99)/G99*100</f>
        <v>5.4187192118226646</v>
      </c>
      <c r="L99" s="27">
        <v>0.33</v>
      </c>
    </row>
    <row r="100" spans="1:12" x14ac:dyDescent="0.25">
      <c r="A100" s="27" t="s">
        <v>132</v>
      </c>
      <c r="B100" s="27" t="s">
        <v>126</v>
      </c>
      <c r="C100" s="27">
        <v>0.17599999999999999</v>
      </c>
      <c r="D100" s="27">
        <v>10</v>
      </c>
      <c r="E100" s="27">
        <v>0.22</v>
      </c>
      <c r="F100" s="27">
        <v>90</v>
      </c>
      <c r="G100" s="27">
        <v>0.22900000000000001</v>
      </c>
      <c r="H100" s="38">
        <v>90</v>
      </c>
      <c r="I100" s="38"/>
      <c r="J100" s="35">
        <f t="shared" ref="J100:J108" si="19">(E100-C100)/C100*100</f>
        <v>25.000000000000007</v>
      </c>
      <c r="K100" s="36">
        <f t="shared" ref="K100:K108" si="20">(G100-C100)/C100*100</f>
        <v>30.113636363636374</v>
      </c>
      <c r="L100" s="27">
        <v>4.4400000000000004</v>
      </c>
    </row>
    <row r="101" spans="1:12" x14ac:dyDescent="0.25">
      <c r="A101" s="33"/>
      <c r="B101" s="27" t="s">
        <v>127</v>
      </c>
      <c r="C101" s="27">
        <v>0.14399999999999999</v>
      </c>
      <c r="D101" s="27">
        <v>10</v>
      </c>
      <c r="E101" s="27">
        <v>0.187</v>
      </c>
      <c r="F101" s="27">
        <v>10</v>
      </c>
      <c r="G101" s="27">
        <v>0.192</v>
      </c>
      <c r="H101" s="38">
        <v>10</v>
      </c>
      <c r="I101" s="38"/>
      <c r="J101" s="35">
        <f t="shared" si="19"/>
        <v>29.861111111111121</v>
      </c>
      <c r="K101" s="36">
        <f t="shared" si="20"/>
        <v>33.33333333333335</v>
      </c>
      <c r="L101" s="27">
        <v>2.2000000000000002</v>
      </c>
    </row>
    <row r="102" spans="1:12" x14ac:dyDescent="0.25">
      <c r="A102" s="33"/>
      <c r="B102" s="27" t="s">
        <v>133</v>
      </c>
      <c r="C102" s="27">
        <v>0.17199999999999999</v>
      </c>
      <c r="D102" s="27">
        <v>90</v>
      </c>
      <c r="E102" s="27">
        <v>0.20399999999999999</v>
      </c>
      <c r="F102" s="27">
        <v>85</v>
      </c>
      <c r="G102" s="27">
        <v>0.216</v>
      </c>
      <c r="H102" s="38">
        <v>85</v>
      </c>
      <c r="I102" s="38"/>
      <c r="J102" s="35">
        <f t="shared" si="19"/>
        <v>18.604651162790699</v>
      </c>
      <c r="K102" s="36">
        <f t="shared" si="20"/>
        <v>25.581395348837216</v>
      </c>
      <c r="L102" s="27">
        <v>6.04</v>
      </c>
    </row>
    <row r="103" spans="1:12" x14ac:dyDescent="0.25">
      <c r="A103" s="33"/>
      <c r="B103" s="27" t="s">
        <v>134</v>
      </c>
      <c r="C103" s="27">
        <v>0.16600000000000001</v>
      </c>
      <c r="D103" s="27">
        <v>10</v>
      </c>
      <c r="E103" s="27">
        <v>0.192</v>
      </c>
      <c r="F103" s="27">
        <v>10</v>
      </c>
      <c r="G103" s="27">
        <v>0.192</v>
      </c>
      <c r="H103" s="38">
        <v>10</v>
      </c>
      <c r="I103" s="38"/>
      <c r="J103" s="35">
        <f t="shared" si="19"/>
        <v>15.662650602409636</v>
      </c>
      <c r="K103" s="36">
        <f t="shared" si="20"/>
        <v>15.662650602409636</v>
      </c>
      <c r="L103" s="27">
        <v>0.19</v>
      </c>
    </row>
    <row r="104" spans="1:12" x14ac:dyDescent="0.25">
      <c r="A104" s="27" t="s">
        <v>122</v>
      </c>
      <c r="B104" s="27" t="s">
        <v>124</v>
      </c>
      <c r="C104" s="27">
        <v>0.22</v>
      </c>
      <c r="D104" s="27" t="s">
        <v>125</v>
      </c>
      <c r="E104" s="27">
        <v>0.23799999999999999</v>
      </c>
      <c r="F104" s="27" t="s">
        <v>125</v>
      </c>
      <c r="G104" s="27">
        <v>0.24099999999999999</v>
      </c>
      <c r="H104" s="38" t="s">
        <v>125</v>
      </c>
      <c r="I104" s="38"/>
      <c r="J104" s="35">
        <f t="shared" si="19"/>
        <v>8.1818181818181763</v>
      </c>
      <c r="K104" s="36">
        <f t="shared" si="20"/>
        <v>9.5454545454545414</v>
      </c>
      <c r="L104" s="27">
        <v>1.24</v>
      </c>
    </row>
    <row r="105" spans="1:12" ht="16.8" x14ac:dyDescent="0.25">
      <c r="A105" s="27" t="s">
        <v>135</v>
      </c>
      <c r="B105" s="27" t="s">
        <v>126</v>
      </c>
      <c r="C105" s="27">
        <v>0.105</v>
      </c>
      <c r="D105" s="27">
        <v>0</v>
      </c>
      <c r="E105" s="27">
        <v>0.17299999999999999</v>
      </c>
      <c r="F105" s="27">
        <v>85</v>
      </c>
      <c r="G105" s="27">
        <v>0.183</v>
      </c>
      <c r="H105" s="38">
        <v>85</v>
      </c>
      <c r="I105" s="38"/>
      <c r="J105" s="35">
        <f t="shared" si="19"/>
        <v>64.761904761904759</v>
      </c>
      <c r="K105" s="36">
        <f t="shared" si="20"/>
        <v>74.285714285714292</v>
      </c>
      <c r="L105" s="27">
        <v>5.72</v>
      </c>
    </row>
    <row r="106" spans="1:12" x14ac:dyDescent="0.25">
      <c r="A106" s="33"/>
      <c r="B106" s="27" t="s">
        <v>127</v>
      </c>
      <c r="C106" s="27">
        <v>9.2999999999999999E-2</v>
      </c>
      <c r="D106" s="27">
        <v>5</v>
      </c>
      <c r="E106" s="27">
        <v>0.13500000000000001</v>
      </c>
      <c r="F106" s="27">
        <v>0</v>
      </c>
      <c r="G106" s="27">
        <v>0.13700000000000001</v>
      </c>
      <c r="H106" s="38">
        <v>0</v>
      </c>
      <c r="I106" s="38"/>
      <c r="J106" s="35">
        <f t="shared" si="19"/>
        <v>45.161290322580655</v>
      </c>
      <c r="K106" s="36">
        <f t="shared" si="20"/>
        <v>47.311827956989262</v>
      </c>
      <c r="L106" s="27">
        <v>1.58</v>
      </c>
    </row>
    <row r="107" spans="1:12" x14ac:dyDescent="0.25">
      <c r="A107" s="33"/>
      <c r="B107" s="27" t="s">
        <v>133</v>
      </c>
      <c r="C107" s="27">
        <v>0.106</v>
      </c>
      <c r="D107" s="27">
        <v>90</v>
      </c>
      <c r="E107" s="27">
        <v>0.19500000000000001</v>
      </c>
      <c r="F107" s="27">
        <v>90</v>
      </c>
      <c r="G107" s="27">
        <v>0.21</v>
      </c>
      <c r="H107" s="38">
        <v>90</v>
      </c>
      <c r="I107" s="38"/>
      <c r="J107" s="35">
        <f t="shared" si="19"/>
        <v>83.962264150943412</v>
      </c>
      <c r="K107" s="36">
        <f t="shared" si="20"/>
        <v>98.113207547169807</v>
      </c>
      <c r="L107" s="27">
        <v>7.72</v>
      </c>
    </row>
    <row r="108" spans="1:12" ht="15" thickBot="1" x14ac:dyDescent="0.3">
      <c r="A108" s="23"/>
      <c r="B108" s="34" t="s">
        <v>134</v>
      </c>
      <c r="C108" s="34">
        <v>9.6000000000000002E-2</v>
      </c>
      <c r="D108" s="34">
        <v>20</v>
      </c>
      <c r="E108" s="34">
        <v>0.13400000000000001</v>
      </c>
      <c r="F108" s="34">
        <v>90</v>
      </c>
      <c r="G108" s="34">
        <v>0.14099999999999999</v>
      </c>
      <c r="H108" s="39">
        <v>90</v>
      </c>
      <c r="I108" s="39"/>
      <c r="J108" s="35">
        <f t="shared" si="19"/>
        <v>39.583333333333336</v>
      </c>
      <c r="K108" s="36">
        <f t="shared" si="20"/>
        <v>46.874999999999986</v>
      </c>
      <c r="L108" s="34">
        <v>5.19</v>
      </c>
    </row>
    <row r="109" spans="1:12" ht="15" thickTop="1" x14ac:dyDescent="0.25"/>
    <row r="112" spans="1:12" ht="15" thickBot="1" x14ac:dyDescent="0.3"/>
    <row r="113" spans="1:11" ht="15.6" thickTop="1" thickBot="1" x14ac:dyDescent="0.3">
      <c r="A113" s="40" t="s">
        <v>115</v>
      </c>
      <c r="B113" s="40"/>
      <c r="C113" s="40" t="s">
        <v>128</v>
      </c>
      <c r="D113" s="40"/>
      <c r="E113" s="40"/>
      <c r="F113" s="40"/>
      <c r="G113" s="42" t="s">
        <v>117</v>
      </c>
      <c r="H113" s="42"/>
      <c r="I113" s="25" t="s">
        <v>129</v>
      </c>
      <c r="J113" s="25" t="s">
        <v>129</v>
      </c>
      <c r="K113" s="25" t="s">
        <v>129</v>
      </c>
    </row>
    <row r="114" spans="1:11" ht="15.6" thickTop="1" thickBot="1" x14ac:dyDescent="0.3">
      <c r="A114" s="41"/>
      <c r="B114" s="41"/>
      <c r="C114" s="20" t="e" vm="7">
        <v>#VALUE!</v>
      </c>
      <c r="D114" s="19" t="s">
        <v>119</v>
      </c>
      <c r="E114" s="21" t="e" vm="8">
        <v>#VALUE!</v>
      </c>
      <c r="F114" s="19" t="s">
        <v>119</v>
      </c>
      <c r="G114" s="20" t="e" vm="3">
        <v>#VALUE!</v>
      </c>
      <c r="H114" s="22" t="s">
        <v>119</v>
      </c>
      <c r="I114" s="22" t="s">
        <v>130</v>
      </c>
      <c r="J114" s="22" t="s">
        <v>130</v>
      </c>
      <c r="K114" s="22" t="s">
        <v>130</v>
      </c>
    </row>
    <row r="115" spans="1:11" x14ac:dyDescent="0.25">
      <c r="A115" s="18" t="s">
        <v>122</v>
      </c>
      <c r="B115" s="18" t="s">
        <v>124</v>
      </c>
      <c r="C115" s="18">
        <v>0.13800000000000001</v>
      </c>
      <c r="D115" s="18" t="s">
        <v>125</v>
      </c>
      <c r="E115" s="18">
        <v>0.14499999999999999</v>
      </c>
      <c r="F115" s="18" t="s">
        <v>125</v>
      </c>
      <c r="G115" s="18">
        <v>0.14599999999999999</v>
      </c>
      <c r="H115" s="18" t="s">
        <v>125</v>
      </c>
      <c r="I115" s="37">
        <f>(E115-C115)/C115*100</f>
        <v>5.0724637681159255</v>
      </c>
      <c r="J115" s="37">
        <f>(G115-C115)/C115*100</f>
        <v>5.7971014492753472</v>
      </c>
      <c r="K115" s="37">
        <f>(G115-E115)/E115*100</f>
        <v>0.68965517241379382</v>
      </c>
    </row>
    <row r="116" spans="1:11" ht="16.8" x14ac:dyDescent="0.25">
      <c r="A116" s="18" t="s">
        <v>123</v>
      </c>
      <c r="B116" s="18" t="s">
        <v>126</v>
      </c>
      <c r="C116" s="18">
        <v>8.4000000000000005E-2</v>
      </c>
      <c r="D116" s="18">
        <v>10</v>
      </c>
      <c r="E116" s="18">
        <v>0.09</v>
      </c>
      <c r="F116" s="18">
        <v>15</v>
      </c>
      <c r="G116" s="18">
        <v>9.2999999999999999E-2</v>
      </c>
      <c r="H116" s="18">
        <v>90</v>
      </c>
      <c r="I116" s="37">
        <f t="shared" ref="I116:I117" si="21">(E116-C116)/C116*100</f>
        <v>7.1428571428571326</v>
      </c>
      <c r="J116" s="37">
        <f t="shared" ref="J116:J117" si="22">(G116-C116)/C116*100</f>
        <v>10.714285714285706</v>
      </c>
      <c r="K116" s="37">
        <f t="shared" ref="K116:K117" si="23">(G116-E116)/E116*100</f>
        <v>3.3333333333333366</v>
      </c>
    </row>
    <row r="117" spans="1:11" ht="15" thickBot="1" x14ac:dyDescent="0.3">
      <c r="A117" s="23"/>
      <c r="B117" s="24" t="s">
        <v>127</v>
      </c>
      <c r="C117" s="24">
        <v>7.1999999999999995E-2</v>
      </c>
      <c r="D117" s="24">
        <v>90</v>
      </c>
      <c r="E117" s="24">
        <v>9.1999999999999998E-2</v>
      </c>
      <c r="F117" s="24">
        <v>90</v>
      </c>
      <c r="G117" s="24">
        <v>9.1999999999999998E-2</v>
      </c>
      <c r="H117" s="24">
        <v>90</v>
      </c>
      <c r="I117" s="37">
        <f t="shared" si="21"/>
        <v>27.777777777777786</v>
      </c>
      <c r="J117" s="37">
        <f t="shared" si="22"/>
        <v>27.777777777777786</v>
      </c>
      <c r="K117" s="37">
        <f t="shared" si="23"/>
        <v>0</v>
      </c>
    </row>
    <row r="118" spans="1:11" ht="15" thickTop="1" x14ac:dyDescent="0.25"/>
  </sheetData>
  <mergeCells count="28">
    <mergeCell ref="J83:K83"/>
    <mergeCell ref="J84:K84"/>
    <mergeCell ref="J85:K85"/>
    <mergeCell ref="H3:J3"/>
    <mergeCell ref="B3:D3"/>
    <mergeCell ref="E3:G3"/>
    <mergeCell ref="A81:B82"/>
    <mergeCell ref="C81:F81"/>
    <mergeCell ref="G81:H81"/>
    <mergeCell ref="I81:K81"/>
    <mergeCell ref="I82:J82"/>
    <mergeCell ref="A97:B98"/>
    <mergeCell ref="C97:F97"/>
    <mergeCell ref="G97:I97"/>
    <mergeCell ref="G98:H98"/>
    <mergeCell ref="H99:I99"/>
    <mergeCell ref="H100:I100"/>
    <mergeCell ref="H101:I101"/>
    <mergeCell ref="H102:I102"/>
    <mergeCell ref="H103:I103"/>
    <mergeCell ref="H104:I104"/>
    <mergeCell ref="H105:I105"/>
    <mergeCell ref="H106:I106"/>
    <mergeCell ref="H107:I107"/>
    <mergeCell ref="H108:I108"/>
    <mergeCell ref="A113:B114"/>
    <mergeCell ref="C113:F113"/>
    <mergeCell ref="G113:H113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57"/>
  <sheetViews>
    <sheetView topLeftCell="A52" workbookViewId="0">
      <selection activeCell="A61" sqref="A61"/>
    </sheetView>
  </sheetViews>
  <sheetFormatPr defaultRowHeight="14.4" x14ac:dyDescent="0.25"/>
  <cols>
    <col min="1" max="1" width="10.21875" style="1" bestFit="1" customWidth="1"/>
    <col min="2" max="2" width="10.5546875" style="1" bestFit="1" customWidth="1"/>
    <col min="3" max="3" width="10.21875" style="1" bestFit="1" customWidth="1"/>
    <col min="4" max="5" width="10.5546875" style="1" bestFit="1" customWidth="1"/>
    <col min="6" max="6" width="10" style="1" bestFit="1" customWidth="1"/>
    <col min="7" max="7" width="9.77734375" style="1" bestFit="1" customWidth="1"/>
    <col min="8" max="9" width="8.88671875" style="1" customWidth="1"/>
    <col min="10" max="10" width="10.21875" style="1" bestFit="1" customWidth="1"/>
    <col min="11" max="11" width="10.5546875" style="1" bestFit="1" customWidth="1"/>
    <col min="12" max="12" width="10.21875" style="1" bestFit="1" customWidth="1"/>
    <col min="13" max="14" width="10.5546875" style="1" bestFit="1" customWidth="1"/>
    <col min="15" max="15" width="10" style="1" bestFit="1" customWidth="1"/>
    <col min="16" max="16" width="9.77734375" style="1" bestFit="1" customWidth="1"/>
    <col min="17" max="18" width="8.88671875" style="1" customWidth="1"/>
    <col min="19" max="19" width="10.21875" style="1" bestFit="1" customWidth="1"/>
    <col min="20" max="20" width="10.5546875" style="1" bestFit="1" customWidth="1"/>
    <col min="21" max="21" width="10.21875" style="1" bestFit="1" customWidth="1"/>
    <col min="22" max="23" width="10.5546875" style="1" bestFit="1" customWidth="1"/>
    <col min="24" max="24" width="10" style="1" bestFit="1" customWidth="1"/>
    <col min="25" max="25" width="9.77734375" style="1" bestFit="1" customWidth="1"/>
    <col min="26" max="27" width="8.88671875" style="1" customWidth="1"/>
    <col min="28" max="16384" width="8.88671875" style="1"/>
  </cols>
  <sheetData>
    <row r="1" spans="1:25" ht="15" customHeight="1" thickBot="1" x14ac:dyDescent="0.3">
      <c r="A1" s="15" t="s">
        <v>105</v>
      </c>
      <c r="J1" s="15" t="s">
        <v>106</v>
      </c>
      <c r="S1" s="15" t="s">
        <v>107</v>
      </c>
    </row>
    <row r="2" spans="1:25" ht="16.2" customHeight="1" thickBot="1" x14ac:dyDescent="0.3">
      <c r="A2" s="7"/>
      <c r="B2" s="55" t="s">
        <v>108</v>
      </c>
      <c r="C2" s="56"/>
      <c r="D2" s="57"/>
      <c r="E2" s="55" t="s">
        <v>109</v>
      </c>
      <c r="F2" s="57"/>
      <c r="G2" s="8"/>
      <c r="J2" s="7"/>
      <c r="K2" s="55" t="s">
        <v>108</v>
      </c>
      <c r="L2" s="56"/>
      <c r="M2" s="57"/>
      <c r="N2" s="55" t="s">
        <v>109</v>
      </c>
      <c r="O2" s="57"/>
      <c r="P2" s="8"/>
      <c r="S2" s="7"/>
      <c r="T2" s="55" t="s">
        <v>108</v>
      </c>
      <c r="U2" s="56"/>
      <c r="V2" s="57"/>
      <c r="W2" s="55" t="s">
        <v>109</v>
      </c>
      <c r="X2" s="57"/>
      <c r="Y2" s="8"/>
    </row>
    <row r="3" spans="1:25" ht="16.2" customHeight="1" thickBot="1" x14ac:dyDescent="0.3">
      <c r="A3" s="9" t="s">
        <v>110</v>
      </c>
      <c r="B3" s="10" t="s">
        <v>111</v>
      </c>
      <c r="C3" s="10" t="s">
        <v>112</v>
      </c>
      <c r="D3" s="11" t="s">
        <v>113</v>
      </c>
      <c r="E3" s="10" t="s">
        <v>111</v>
      </c>
      <c r="F3" s="10" t="s">
        <v>112</v>
      </c>
      <c r="G3" s="11" t="s">
        <v>113</v>
      </c>
      <c r="J3" s="9" t="s">
        <v>110</v>
      </c>
      <c r="K3" s="10" t="s">
        <v>111</v>
      </c>
      <c r="L3" s="10" t="s">
        <v>112</v>
      </c>
      <c r="M3" s="11" t="s">
        <v>113</v>
      </c>
      <c r="N3" s="10" t="s">
        <v>111</v>
      </c>
      <c r="O3" s="10" t="s">
        <v>112</v>
      </c>
      <c r="P3" s="11" t="s">
        <v>113</v>
      </c>
      <c r="S3" s="9" t="s">
        <v>110</v>
      </c>
      <c r="T3" s="10" t="s">
        <v>111</v>
      </c>
      <c r="U3" s="10" t="s">
        <v>112</v>
      </c>
      <c r="V3" s="11" t="s">
        <v>113</v>
      </c>
      <c r="W3" s="10" t="s">
        <v>111</v>
      </c>
      <c r="X3" s="10" t="s">
        <v>112</v>
      </c>
      <c r="Y3" s="11" t="s">
        <v>113</v>
      </c>
    </row>
    <row r="4" spans="1:25" ht="16.2" customHeight="1" thickBot="1" x14ac:dyDescent="0.3">
      <c r="A4" s="3">
        <v>200</v>
      </c>
      <c r="B4" s="4">
        <v>5410</v>
      </c>
      <c r="C4" s="4">
        <v>5550</v>
      </c>
      <c r="D4" s="4">
        <f>(C4-B4)/B4</f>
        <v>2.5878003696857672E-2</v>
      </c>
      <c r="E4" s="4">
        <v>6.07</v>
      </c>
      <c r="F4" s="12">
        <v>6.81</v>
      </c>
      <c r="G4" s="4">
        <f>(F4-E4)/E4</f>
        <v>0.12191103789126842</v>
      </c>
      <c r="J4" s="3">
        <v>200</v>
      </c>
      <c r="K4" s="4">
        <v>3690</v>
      </c>
      <c r="L4" s="4">
        <v>3790</v>
      </c>
      <c r="M4" s="4">
        <f>(L4-K4)/K4</f>
        <v>2.7100271002710029E-2</v>
      </c>
      <c r="N4" s="4">
        <v>5.97</v>
      </c>
      <c r="O4" s="12">
        <v>6.6334359999999997</v>
      </c>
      <c r="P4" s="4">
        <f>(O4-N4)/N4</f>
        <v>0.11112830820770518</v>
      </c>
      <c r="S4" s="3">
        <v>200</v>
      </c>
      <c r="T4" s="4">
        <v>5410</v>
      </c>
      <c r="U4" s="4">
        <v>5550</v>
      </c>
      <c r="V4" s="4">
        <f>(U4-T4)/T4</f>
        <v>2.5878003696857672E-2</v>
      </c>
      <c r="W4" s="4">
        <v>6.07</v>
      </c>
      <c r="X4" s="12">
        <v>6.7639079999999998</v>
      </c>
      <c r="Y4" s="4">
        <f>(X4-W4)/W4</f>
        <v>0.11431762767710041</v>
      </c>
    </row>
    <row r="5" spans="1:25" ht="16.2" customHeight="1" thickBot="1" x14ac:dyDescent="0.3">
      <c r="A5" s="3">
        <v>196.15</v>
      </c>
      <c r="B5" s="4">
        <v>5410</v>
      </c>
      <c r="C5" s="4">
        <v>5550</v>
      </c>
      <c r="D5" s="4">
        <f>(C5-B5)/B5</f>
        <v>2.5878003696857672E-2</v>
      </c>
      <c r="E5" s="4">
        <v>5.35</v>
      </c>
      <c r="F5" s="12">
        <v>5.67</v>
      </c>
      <c r="G5" s="4">
        <f>(F5-E5)/E5</f>
        <v>5.9813084112149591E-2</v>
      </c>
      <c r="J5" s="3">
        <v>196</v>
      </c>
      <c r="K5" s="4">
        <v>3690</v>
      </c>
      <c r="L5" s="4">
        <v>3790</v>
      </c>
      <c r="M5" s="4">
        <f>(L5-K5)/K5</f>
        <v>2.7100271002710029E-2</v>
      </c>
      <c r="N5" s="4">
        <v>5.4</v>
      </c>
      <c r="O5" s="12">
        <v>5.7319680000000002</v>
      </c>
      <c r="P5" s="4">
        <f>(O5-N5)/N5</f>
        <v>6.1475555555555519E-2</v>
      </c>
      <c r="S5" s="3">
        <v>196</v>
      </c>
      <c r="T5" s="4">
        <v>5410</v>
      </c>
      <c r="U5" s="4">
        <v>5550</v>
      </c>
      <c r="V5" s="4">
        <f>(U5-T5)/T5</f>
        <v>2.5878003696857672E-2</v>
      </c>
      <c r="W5" s="4">
        <v>5.35</v>
      </c>
      <c r="X5" s="12">
        <v>5.626493</v>
      </c>
      <c r="Y5" s="4">
        <f>(X5-W5)/W5</f>
        <v>5.1680934579439314E-2</v>
      </c>
    </row>
    <row r="6" spans="1:25" ht="16.2" customHeight="1" thickBot="1" x14ac:dyDescent="0.3">
      <c r="A6" s="3">
        <v>192.3</v>
      </c>
      <c r="B6" s="4">
        <v>7620000</v>
      </c>
      <c r="C6" s="4">
        <v>7850000</v>
      </c>
      <c r="D6" s="4">
        <f>(C6-B6)/B6</f>
        <v>3.0183727034120734E-2</v>
      </c>
      <c r="E6" s="4">
        <v>4.82</v>
      </c>
      <c r="F6" s="12">
        <v>5.16</v>
      </c>
      <c r="G6" s="4">
        <f>(F6-E6)/E6</f>
        <v>7.0539419087136901E-2</v>
      </c>
      <c r="J6" s="3">
        <v>192</v>
      </c>
      <c r="K6" s="4">
        <v>2630000</v>
      </c>
      <c r="L6" s="4">
        <v>2710000</v>
      </c>
      <c r="M6" s="4">
        <f>(L6-K6)/K6</f>
        <v>3.0418250950570342E-2</v>
      </c>
      <c r="N6" s="4">
        <v>4.92</v>
      </c>
      <c r="O6" s="12">
        <v>5.3447889999999996</v>
      </c>
      <c r="P6" s="4">
        <f>(O6-N6)/N6</f>
        <v>8.6339227642276348E-2</v>
      </c>
      <c r="S6" s="3">
        <v>192</v>
      </c>
      <c r="T6" s="4">
        <v>7620000</v>
      </c>
      <c r="U6" s="4">
        <v>7850000</v>
      </c>
      <c r="V6" s="4">
        <f>(U6-T6)/T6</f>
        <v>3.0183727034120734E-2</v>
      </c>
      <c r="W6" s="4">
        <v>4.82</v>
      </c>
      <c r="X6" s="12">
        <v>5.1222390000000004</v>
      </c>
      <c r="Y6" s="4">
        <f>(X6-W6)/W6</f>
        <v>6.2705186721991726E-2</v>
      </c>
    </row>
    <row r="7" spans="1:25" ht="16.2" customHeight="1" thickBot="1" x14ac:dyDescent="0.3">
      <c r="A7" s="3">
        <v>188.7</v>
      </c>
      <c r="B7" s="4">
        <v>5630</v>
      </c>
      <c r="C7" s="4">
        <v>5550</v>
      </c>
      <c r="D7" s="4">
        <f>(C7-B7)/B7</f>
        <v>-1.4209591474245116E-2</v>
      </c>
      <c r="E7" s="4">
        <v>1.96</v>
      </c>
      <c r="F7" s="12">
        <v>2.17</v>
      </c>
      <c r="G7" s="4">
        <f>(F7-E7)/E7</f>
        <v>0.10714285714285712</v>
      </c>
      <c r="J7" s="3">
        <v>189</v>
      </c>
      <c r="K7" s="4">
        <v>3850</v>
      </c>
      <c r="L7" s="4">
        <v>3790</v>
      </c>
      <c r="M7" s="4">
        <f>(L7-K7)/K7</f>
        <v>-1.5584415584415584E-2</v>
      </c>
      <c r="N7" s="4">
        <v>1.94</v>
      </c>
      <c r="O7" s="12">
        <v>2.1333700000000002</v>
      </c>
      <c r="P7" s="4">
        <f>(O7-N7)/N7</f>
        <v>9.9675257731958899E-2</v>
      </c>
      <c r="S7" s="3">
        <v>189</v>
      </c>
      <c r="T7" s="4">
        <v>5630</v>
      </c>
      <c r="U7" s="4">
        <v>5550</v>
      </c>
      <c r="V7" s="4">
        <f>(U7-T7)/T7</f>
        <v>-1.4209591474245116E-2</v>
      </c>
      <c r="W7" s="4">
        <v>1.96</v>
      </c>
      <c r="X7" s="12">
        <v>2.157667</v>
      </c>
      <c r="Y7" s="4">
        <f>(X7-W7)/W7</f>
        <v>0.10085051020408166</v>
      </c>
    </row>
    <row r="8" spans="1:25" ht="16.2" customHeight="1" thickBot="1" x14ac:dyDescent="0.3">
      <c r="A8" s="3">
        <v>185.1</v>
      </c>
      <c r="B8" s="4">
        <v>5630</v>
      </c>
      <c r="C8" s="4">
        <v>5550</v>
      </c>
      <c r="D8" s="4">
        <f>(C8-B8)/B8</f>
        <v>-1.4209591474245116E-2</v>
      </c>
      <c r="E8" s="4">
        <v>1.56</v>
      </c>
      <c r="F8" s="12">
        <v>1.66</v>
      </c>
      <c r="G8" s="4">
        <f>(F8-E8)/E8</f>
        <v>6.4102564102564014E-2</v>
      </c>
      <c r="J8" s="3">
        <v>185</v>
      </c>
      <c r="K8" s="4">
        <v>3850</v>
      </c>
      <c r="L8" s="4">
        <v>3790</v>
      </c>
      <c r="M8" s="4">
        <f>(L8-K8)/K8</f>
        <v>-1.5584415584415584E-2</v>
      </c>
      <c r="N8" s="4">
        <v>1.6</v>
      </c>
      <c r="O8" s="12">
        <v>1.714777</v>
      </c>
      <c r="P8" s="4">
        <f>(O8-N8)/N8</f>
        <v>7.1735624999999942E-2</v>
      </c>
      <c r="S8" s="3">
        <v>185</v>
      </c>
      <c r="T8" s="4">
        <v>5630</v>
      </c>
      <c r="U8" s="4">
        <v>5550</v>
      </c>
      <c r="V8" s="4">
        <f>(U8-T8)/T8</f>
        <v>-1.4209591474245116E-2</v>
      </c>
      <c r="W8" s="4">
        <v>1.56</v>
      </c>
      <c r="X8" s="12">
        <v>1.638884</v>
      </c>
      <c r="Y8" s="4">
        <f>(X8-W8)/W8</f>
        <v>5.0566666666666635E-2</v>
      </c>
    </row>
    <row r="9" spans="1:25" ht="16.2" customHeight="1" thickBot="1" x14ac:dyDescent="0.3">
      <c r="A9" s="3">
        <v>181.5</v>
      </c>
      <c r="B9" s="10"/>
      <c r="C9" s="10"/>
      <c r="D9" s="14"/>
      <c r="E9" s="10"/>
      <c r="F9" s="10"/>
      <c r="G9" s="10"/>
      <c r="J9" s="13" t="s">
        <v>114</v>
      </c>
      <c r="K9" s="10"/>
      <c r="L9" s="10"/>
      <c r="M9" s="14"/>
      <c r="N9" s="10"/>
      <c r="O9" s="10">
        <v>1.678949</v>
      </c>
      <c r="P9" s="10"/>
      <c r="S9" s="13"/>
      <c r="T9" s="10"/>
      <c r="U9" s="10"/>
      <c r="V9" s="14"/>
      <c r="W9" s="10"/>
      <c r="X9" s="10">
        <v>1.5492619999999999</v>
      </c>
      <c r="Y9" s="10"/>
    </row>
    <row r="10" spans="1:25" ht="16.2" customHeight="1" thickBot="1" x14ac:dyDescent="0.3">
      <c r="A10" s="3">
        <v>177.9</v>
      </c>
      <c r="B10" s="10"/>
      <c r="C10" s="10"/>
      <c r="D10" s="14"/>
      <c r="E10" s="10"/>
      <c r="F10" s="10"/>
      <c r="G10" s="10"/>
      <c r="J10" s="3">
        <v>23.1</v>
      </c>
      <c r="K10" s="16">
        <v>5260</v>
      </c>
      <c r="L10" s="10"/>
      <c r="M10" s="14"/>
      <c r="N10" s="10"/>
      <c r="O10" s="10">
        <v>1.143043</v>
      </c>
      <c r="P10" s="10"/>
      <c r="S10" s="3">
        <v>23.1</v>
      </c>
      <c r="T10" s="10"/>
      <c r="U10" s="10"/>
      <c r="V10" s="14"/>
      <c r="W10" s="10"/>
      <c r="X10" s="10">
        <v>1.1317919999999999</v>
      </c>
      <c r="Y10" s="10"/>
    </row>
    <row r="11" spans="1:25" ht="16.2" customHeight="1" thickBot="1" x14ac:dyDescent="0.3">
      <c r="A11" s="3">
        <v>174.3</v>
      </c>
      <c r="B11" s="10"/>
      <c r="C11" s="10"/>
      <c r="D11" s="14"/>
      <c r="E11" s="10"/>
      <c r="F11" s="10"/>
      <c r="G11" s="10"/>
      <c r="J11" s="3">
        <v>19.5</v>
      </c>
      <c r="K11" s="16">
        <v>3680000</v>
      </c>
      <c r="L11" s="10"/>
      <c r="M11" s="14"/>
      <c r="N11" s="10"/>
      <c r="O11" s="10">
        <v>0.88116899999999998</v>
      </c>
      <c r="P11" s="10"/>
      <c r="S11" s="3">
        <v>19.5</v>
      </c>
      <c r="T11" s="10"/>
      <c r="U11" s="10"/>
      <c r="V11" s="14"/>
      <c r="W11" s="10"/>
      <c r="X11" s="10">
        <v>0.77513299999999996</v>
      </c>
      <c r="Y11" s="10"/>
    </row>
    <row r="12" spans="1:25" ht="16.2" customHeight="1" thickBot="1" x14ac:dyDescent="0.3">
      <c r="A12" s="3">
        <v>170.7</v>
      </c>
      <c r="B12" s="10"/>
      <c r="C12" s="10"/>
      <c r="D12" s="14"/>
      <c r="E12" s="10"/>
      <c r="F12" s="10"/>
      <c r="G12" s="10"/>
      <c r="J12" s="3">
        <v>15</v>
      </c>
      <c r="K12" s="16">
        <v>5720</v>
      </c>
      <c r="L12" s="10"/>
      <c r="M12" s="14"/>
      <c r="N12" s="10"/>
      <c r="O12" s="10">
        <v>0.828851</v>
      </c>
      <c r="P12" s="10"/>
      <c r="S12" s="3">
        <v>15</v>
      </c>
      <c r="T12" s="10"/>
      <c r="U12" s="10"/>
      <c r="V12" s="14"/>
      <c r="W12" s="10"/>
      <c r="X12" s="10">
        <v>0.73757700000000004</v>
      </c>
      <c r="Y12" s="10"/>
    </row>
    <row r="13" spans="1:25" ht="16.2" customHeight="1" thickBot="1" x14ac:dyDescent="0.3">
      <c r="A13" s="3">
        <v>167.1</v>
      </c>
      <c r="B13" s="10"/>
      <c r="C13" s="10"/>
      <c r="D13" s="14"/>
      <c r="E13" s="10"/>
      <c r="F13" s="10"/>
      <c r="G13" s="10"/>
      <c r="J13" s="3">
        <v>10.5</v>
      </c>
      <c r="K13" s="16">
        <v>5720</v>
      </c>
      <c r="L13" s="10"/>
      <c r="M13" s="14"/>
      <c r="N13" s="10"/>
      <c r="O13" s="10">
        <v>0.72556299999999996</v>
      </c>
      <c r="P13" s="10"/>
      <c r="S13" s="3">
        <v>10.5</v>
      </c>
      <c r="T13" s="10"/>
      <c r="U13" s="10"/>
      <c r="V13" s="14"/>
      <c r="W13" s="10"/>
      <c r="X13" s="10">
        <v>0.71250800000000003</v>
      </c>
      <c r="Y13" s="10"/>
    </row>
    <row r="14" spans="1:25" ht="16.2" customHeight="1" thickBot="1" x14ac:dyDescent="0.3">
      <c r="A14" s="3">
        <v>163.5</v>
      </c>
      <c r="B14" s="10"/>
      <c r="C14" s="10"/>
      <c r="D14" s="14"/>
      <c r="E14" s="10"/>
      <c r="F14" s="10"/>
      <c r="G14" s="10"/>
      <c r="J14" s="3">
        <v>6</v>
      </c>
      <c r="K14" s="16">
        <v>3960000</v>
      </c>
      <c r="L14" s="10"/>
      <c r="M14" s="14"/>
      <c r="N14" s="10"/>
      <c r="O14" s="10">
        <v>0.55391000000000001</v>
      </c>
      <c r="P14" s="10"/>
      <c r="S14" s="3">
        <v>6</v>
      </c>
      <c r="T14" s="10"/>
      <c r="U14" s="10"/>
      <c r="V14" s="14"/>
      <c r="W14" s="10"/>
      <c r="X14" s="10">
        <v>0.495201</v>
      </c>
      <c r="Y14" s="10"/>
    </row>
    <row r="15" spans="1:25" ht="16.2" customHeight="1" thickBot="1" x14ac:dyDescent="0.3">
      <c r="A15" s="3">
        <v>159.9</v>
      </c>
      <c r="B15" s="3"/>
      <c r="C15" s="3"/>
      <c r="D15" s="3"/>
      <c r="E15" s="3"/>
      <c r="F15" s="3"/>
      <c r="G15" s="3"/>
      <c r="O15" s="1">
        <v>0.507108</v>
      </c>
      <c r="X15" s="1">
        <v>0.47172199999999997</v>
      </c>
    </row>
    <row r="16" spans="1:25" ht="16.2" customHeight="1" thickBot="1" x14ac:dyDescent="0.3">
      <c r="A16" s="3">
        <v>156.30000000000001</v>
      </c>
      <c r="B16" s="3"/>
      <c r="C16" s="3"/>
      <c r="D16" s="3"/>
      <c r="E16" s="3"/>
      <c r="F16" s="3"/>
      <c r="G16" s="3"/>
      <c r="O16" s="1">
        <v>0.50588299999999997</v>
      </c>
      <c r="X16" s="1">
        <v>0.45078200000000002</v>
      </c>
    </row>
    <row r="17" spans="1:24" ht="16.2" customHeight="1" thickBot="1" x14ac:dyDescent="0.3">
      <c r="A17" s="3">
        <v>152.69999999999999</v>
      </c>
      <c r="B17" s="3"/>
      <c r="C17" s="3"/>
      <c r="D17" s="3"/>
      <c r="E17" s="3"/>
      <c r="F17" s="3"/>
      <c r="G17" s="3"/>
      <c r="O17" s="1">
        <v>0.38777600000000001</v>
      </c>
      <c r="X17" s="1">
        <v>0.36887300000000001</v>
      </c>
    </row>
    <row r="18" spans="1:24" ht="16.2" customHeight="1" thickBot="1" x14ac:dyDescent="0.3">
      <c r="A18" s="3">
        <v>149.1</v>
      </c>
      <c r="B18" s="3"/>
      <c r="C18" s="3"/>
      <c r="D18" s="3"/>
      <c r="E18" s="3"/>
      <c r="F18" s="3"/>
      <c r="G18" s="3"/>
      <c r="O18" s="1">
        <v>0.37728699999999998</v>
      </c>
      <c r="X18" s="1">
        <v>0.32694499999999999</v>
      </c>
    </row>
    <row r="19" spans="1:24" ht="16.2" customHeight="1" thickBot="1" x14ac:dyDescent="0.3">
      <c r="A19" s="3">
        <v>145.5</v>
      </c>
      <c r="B19" s="3"/>
      <c r="C19" s="3"/>
      <c r="D19" s="3"/>
      <c r="E19" s="3"/>
      <c r="F19" s="3"/>
      <c r="G19" s="3"/>
    </row>
    <row r="20" spans="1:24" ht="16.2" customHeight="1" thickBot="1" x14ac:dyDescent="0.3">
      <c r="A20" s="3">
        <v>141.9</v>
      </c>
      <c r="B20" s="3"/>
      <c r="C20" s="3"/>
      <c r="D20" s="3"/>
      <c r="E20" s="3"/>
      <c r="F20" s="3"/>
      <c r="G20" s="3"/>
    </row>
    <row r="21" spans="1:24" ht="16.2" customHeight="1" thickBot="1" x14ac:dyDescent="0.3">
      <c r="A21" s="3">
        <v>138.30000000000001</v>
      </c>
      <c r="B21" s="3"/>
      <c r="C21" s="3"/>
      <c r="D21" s="3"/>
      <c r="E21" s="3"/>
      <c r="F21" s="3"/>
      <c r="G21" s="3"/>
    </row>
    <row r="22" spans="1:24" ht="16.2" customHeight="1" thickBot="1" x14ac:dyDescent="0.3">
      <c r="A22" s="3">
        <v>134.69999999999999</v>
      </c>
      <c r="B22" s="3"/>
      <c r="C22" s="3"/>
      <c r="D22" s="3"/>
      <c r="E22" s="3"/>
      <c r="F22" s="3"/>
      <c r="G22" s="3"/>
    </row>
    <row r="23" spans="1:24" ht="16.2" customHeight="1" thickBot="1" x14ac:dyDescent="0.3">
      <c r="A23" s="3">
        <v>131.1</v>
      </c>
      <c r="B23" s="3"/>
      <c r="C23" s="3"/>
      <c r="D23" s="3"/>
      <c r="E23" s="3"/>
      <c r="F23" s="3"/>
      <c r="G23" s="3"/>
    </row>
    <row r="24" spans="1:24" ht="16.2" customHeight="1" thickBot="1" x14ac:dyDescent="0.3">
      <c r="A24" s="3">
        <v>127.5</v>
      </c>
      <c r="B24" s="3"/>
      <c r="C24" s="3"/>
      <c r="D24" s="3"/>
      <c r="E24" s="3"/>
      <c r="F24" s="3"/>
      <c r="G24" s="3"/>
    </row>
    <row r="25" spans="1:24" ht="16.2" customHeight="1" thickBot="1" x14ac:dyDescent="0.3">
      <c r="A25" s="3">
        <v>123.9</v>
      </c>
      <c r="B25" s="3"/>
      <c r="C25" s="3"/>
      <c r="D25" s="3"/>
      <c r="E25" s="3"/>
      <c r="F25" s="3"/>
      <c r="G25" s="3"/>
    </row>
    <row r="26" spans="1:24" ht="16.2" customHeight="1" thickBot="1" x14ac:dyDescent="0.3">
      <c r="A26" s="3">
        <v>120.3</v>
      </c>
      <c r="B26" s="3"/>
      <c r="C26" s="3"/>
      <c r="D26" s="3"/>
      <c r="E26" s="3"/>
      <c r="F26" s="3"/>
      <c r="G26" s="3"/>
    </row>
    <row r="27" spans="1:24" ht="16.2" customHeight="1" thickBot="1" x14ac:dyDescent="0.3">
      <c r="A27" s="3">
        <v>116.7</v>
      </c>
      <c r="B27" s="3"/>
      <c r="C27" s="3"/>
      <c r="D27" s="3"/>
      <c r="E27" s="3"/>
      <c r="F27" s="3"/>
      <c r="G27" s="3"/>
    </row>
    <row r="28" spans="1:24" ht="16.2" customHeight="1" thickBot="1" x14ac:dyDescent="0.3">
      <c r="A28" s="3">
        <v>113.1</v>
      </c>
      <c r="B28" s="3"/>
      <c r="C28" s="3"/>
      <c r="D28" s="3"/>
      <c r="E28" s="3"/>
      <c r="F28" s="3"/>
      <c r="G28" s="3"/>
    </row>
    <row r="29" spans="1:24" ht="16.2" customHeight="1" thickBot="1" x14ac:dyDescent="0.3">
      <c r="A29" s="3">
        <v>109.5</v>
      </c>
      <c r="B29" s="3"/>
      <c r="C29" s="3"/>
      <c r="D29" s="3"/>
      <c r="E29" s="3"/>
      <c r="F29" s="3"/>
      <c r="G29" s="3"/>
    </row>
    <row r="30" spans="1:24" ht="16.2" customHeight="1" thickBot="1" x14ac:dyDescent="0.3">
      <c r="A30" s="3">
        <v>105.9</v>
      </c>
      <c r="B30" s="3"/>
      <c r="C30" s="3"/>
      <c r="D30" s="3"/>
      <c r="E30" s="3"/>
      <c r="F30" s="3"/>
      <c r="G30" s="3"/>
    </row>
    <row r="31" spans="1:24" ht="16.2" customHeight="1" thickBot="1" x14ac:dyDescent="0.3">
      <c r="A31" s="3">
        <v>102.3</v>
      </c>
      <c r="B31" s="3"/>
      <c r="C31" s="3"/>
      <c r="D31" s="3"/>
      <c r="E31" s="3"/>
      <c r="F31" s="3"/>
      <c r="G31" s="3"/>
    </row>
    <row r="32" spans="1:24" ht="16.2" customHeight="1" thickBot="1" x14ac:dyDescent="0.3">
      <c r="A32" s="3">
        <v>98.7</v>
      </c>
      <c r="B32" s="3"/>
      <c r="C32" s="3"/>
      <c r="D32" s="3"/>
      <c r="E32" s="3"/>
      <c r="F32" s="3"/>
      <c r="G32" s="3"/>
    </row>
    <row r="33" spans="1:7" ht="16.2" customHeight="1" thickBot="1" x14ac:dyDescent="0.3">
      <c r="A33" s="3">
        <v>95.1</v>
      </c>
      <c r="B33" s="3"/>
      <c r="C33" s="3"/>
      <c r="D33" s="3"/>
      <c r="E33" s="3"/>
      <c r="F33" s="3"/>
      <c r="G33" s="3"/>
    </row>
    <row r="34" spans="1:7" ht="16.2" customHeight="1" thickBot="1" x14ac:dyDescent="0.3">
      <c r="A34" s="3">
        <v>91.5</v>
      </c>
      <c r="B34" s="3"/>
      <c r="C34" s="3"/>
      <c r="D34" s="3"/>
      <c r="E34" s="3"/>
      <c r="F34" s="3"/>
      <c r="G34" s="3"/>
    </row>
    <row r="35" spans="1:7" ht="16.2" customHeight="1" thickBot="1" x14ac:dyDescent="0.3">
      <c r="A35" s="3">
        <v>87.9</v>
      </c>
      <c r="B35" s="3"/>
      <c r="C35" s="3"/>
      <c r="D35" s="3"/>
      <c r="E35" s="3"/>
      <c r="F35" s="3"/>
      <c r="G35" s="3"/>
    </row>
    <row r="36" spans="1:7" ht="16.2" customHeight="1" thickBot="1" x14ac:dyDescent="0.3">
      <c r="A36" s="3">
        <v>84.3</v>
      </c>
      <c r="B36" s="3"/>
      <c r="C36" s="3"/>
      <c r="D36" s="3"/>
      <c r="E36" s="3"/>
      <c r="F36" s="3"/>
      <c r="G36" s="3"/>
    </row>
    <row r="37" spans="1:7" ht="16.2" customHeight="1" thickBot="1" x14ac:dyDescent="0.3">
      <c r="A37" s="3">
        <v>80.7</v>
      </c>
      <c r="B37" s="3"/>
      <c r="C37" s="3"/>
      <c r="D37" s="3"/>
      <c r="E37" s="3"/>
      <c r="F37" s="3"/>
      <c r="G37" s="3"/>
    </row>
    <row r="38" spans="1:7" ht="16.2" customHeight="1" thickBot="1" x14ac:dyDescent="0.3">
      <c r="A38" s="3">
        <v>77.099999999999994</v>
      </c>
      <c r="B38" s="3"/>
      <c r="C38" s="3"/>
      <c r="D38" s="3"/>
      <c r="E38" s="3"/>
      <c r="F38" s="3"/>
      <c r="G38" s="3"/>
    </row>
    <row r="39" spans="1:7" ht="16.2" customHeight="1" thickBot="1" x14ac:dyDescent="0.3">
      <c r="A39" s="3">
        <v>73.5</v>
      </c>
      <c r="B39" s="3"/>
      <c r="C39" s="3"/>
      <c r="D39" s="3"/>
      <c r="E39" s="3"/>
      <c r="F39" s="3"/>
      <c r="G39" s="3"/>
    </row>
    <row r="40" spans="1:7" ht="16.2" customHeight="1" thickBot="1" x14ac:dyDescent="0.3">
      <c r="A40" s="3">
        <v>69.900000000000006</v>
      </c>
      <c r="B40" s="3"/>
      <c r="C40" s="3"/>
      <c r="D40" s="3"/>
      <c r="E40" s="3"/>
      <c r="F40" s="3"/>
      <c r="G40" s="3"/>
    </row>
    <row r="41" spans="1:7" ht="16.2" customHeight="1" thickBot="1" x14ac:dyDescent="0.3">
      <c r="A41" s="3">
        <v>66.3</v>
      </c>
      <c r="B41" s="3"/>
      <c r="C41" s="3"/>
      <c r="D41" s="3"/>
      <c r="E41" s="3"/>
      <c r="F41" s="3"/>
      <c r="G41" s="3"/>
    </row>
    <row r="42" spans="1:7" ht="16.2" customHeight="1" thickBot="1" x14ac:dyDescent="0.3">
      <c r="A42" s="3">
        <v>62.7</v>
      </c>
      <c r="B42" s="3"/>
      <c r="C42" s="3"/>
      <c r="D42" s="3"/>
      <c r="E42" s="3"/>
      <c r="F42" s="3"/>
      <c r="G42" s="3"/>
    </row>
    <row r="43" spans="1:7" ht="16.2" customHeight="1" thickBot="1" x14ac:dyDescent="0.3">
      <c r="A43" s="3">
        <v>59.1</v>
      </c>
      <c r="B43" s="3"/>
      <c r="C43" s="3"/>
      <c r="D43" s="3"/>
      <c r="E43" s="3"/>
      <c r="F43" s="3"/>
      <c r="G43" s="3"/>
    </row>
    <row r="44" spans="1:7" ht="16.2" customHeight="1" thickBot="1" x14ac:dyDescent="0.3">
      <c r="A44" s="3">
        <v>55.5</v>
      </c>
      <c r="B44" s="3"/>
      <c r="C44" s="3"/>
      <c r="D44" s="3"/>
      <c r="E44" s="3"/>
      <c r="F44" s="3"/>
      <c r="G44" s="3"/>
    </row>
    <row r="45" spans="1:7" ht="16.2" customHeight="1" thickBot="1" x14ac:dyDescent="0.3">
      <c r="A45" s="3">
        <v>51.9</v>
      </c>
      <c r="B45" s="3"/>
      <c r="C45" s="3"/>
      <c r="D45" s="3"/>
      <c r="E45" s="3"/>
      <c r="F45" s="3"/>
      <c r="G45" s="3"/>
    </row>
    <row r="46" spans="1:7" ht="16.2" customHeight="1" thickBot="1" x14ac:dyDescent="0.3">
      <c r="A46" s="3">
        <v>48.3</v>
      </c>
      <c r="B46" s="3"/>
      <c r="C46" s="3"/>
      <c r="D46" s="3"/>
      <c r="E46" s="3"/>
      <c r="F46" s="3"/>
      <c r="G46" s="3"/>
    </row>
    <row r="47" spans="1:7" ht="16.2" customHeight="1" thickBot="1" x14ac:dyDescent="0.3">
      <c r="A47" s="3">
        <v>44.7</v>
      </c>
      <c r="B47" s="3"/>
      <c r="C47" s="3"/>
      <c r="D47" s="3"/>
      <c r="E47" s="3"/>
      <c r="F47" s="3"/>
      <c r="G47" s="3"/>
    </row>
    <row r="48" spans="1:7" ht="16.2" customHeight="1" thickBot="1" x14ac:dyDescent="0.3">
      <c r="A48" s="3">
        <v>41.1</v>
      </c>
      <c r="B48" s="3"/>
      <c r="C48" s="3"/>
      <c r="D48" s="3"/>
      <c r="E48" s="3"/>
      <c r="F48" s="3"/>
      <c r="G48" s="3"/>
    </row>
    <row r="49" spans="1:7" ht="16.2" customHeight="1" thickBot="1" x14ac:dyDescent="0.3">
      <c r="A49" s="3">
        <v>37.5</v>
      </c>
      <c r="B49" s="3"/>
      <c r="C49" s="3"/>
      <c r="D49" s="3"/>
      <c r="E49" s="3"/>
      <c r="F49" s="3"/>
      <c r="G49" s="3"/>
    </row>
    <row r="50" spans="1:7" ht="16.2" customHeight="1" thickBot="1" x14ac:dyDescent="0.3">
      <c r="A50" s="3">
        <v>33.9</v>
      </c>
      <c r="B50" s="3"/>
      <c r="C50" s="3"/>
      <c r="D50" s="3"/>
      <c r="E50" s="3"/>
      <c r="F50" s="3"/>
      <c r="G50" s="3"/>
    </row>
    <row r="51" spans="1:7" ht="16.2" customHeight="1" thickBot="1" x14ac:dyDescent="0.3">
      <c r="A51" s="3">
        <v>30.3</v>
      </c>
      <c r="B51" s="3"/>
      <c r="C51" s="3"/>
      <c r="D51" s="3"/>
      <c r="E51" s="3"/>
      <c r="F51" s="3"/>
      <c r="G51" s="3"/>
    </row>
    <row r="52" spans="1:7" ht="16.2" customHeight="1" thickBot="1" x14ac:dyDescent="0.3">
      <c r="A52" s="3">
        <v>26.7</v>
      </c>
      <c r="B52" s="3"/>
      <c r="C52" s="3"/>
      <c r="D52" s="3"/>
      <c r="E52" s="3"/>
      <c r="F52" s="3"/>
      <c r="G52" s="3"/>
    </row>
    <row r="53" spans="1:7" ht="16.2" customHeight="1" thickBot="1" x14ac:dyDescent="0.3">
      <c r="A53" s="3">
        <v>23.1</v>
      </c>
      <c r="B53" s="3"/>
      <c r="C53" s="3"/>
      <c r="D53" s="3"/>
      <c r="E53" s="3"/>
      <c r="F53" s="3"/>
      <c r="G53" s="3"/>
    </row>
    <row r="54" spans="1:7" ht="16.2" customHeight="1" thickBot="1" x14ac:dyDescent="0.3">
      <c r="A54" s="3">
        <v>19.5</v>
      </c>
      <c r="B54" s="3"/>
      <c r="C54" s="3"/>
      <c r="D54" s="3"/>
      <c r="E54" s="3"/>
      <c r="F54" s="3"/>
      <c r="G54" s="3"/>
    </row>
    <row r="55" spans="1:7" ht="16.2" customHeight="1" thickBot="1" x14ac:dyDescent="0.3">
      <c r="A55" s="3">
        <v>15</v>
      </c>
      <c r="B55" s="3"/>
      <c r="C55" s="3"/>
      <c r="D55" s="3"/>
      <c r="E55" s="3"/>
      <c r="F55" s="3"/>
      <c r="G55" s="3"/>
    </row>
    <row r="56" spans="1:7" ht="16.2" customHeight="1" thickBot="1" x14ac:dyDescent="0.3">
      <c r="A56" s="3">
        <v>10.5</v>
      </c>
      <c r="B56" s="3"/>
      <c r="C56" s="3"/>
      <c r="D56" s="3"/>
      <c r="E56" s="3"/>
      <c r="F56" s="3"/>
      <c r="G56" s="3"/>
    </row>
    <row r="57" spans="1:7" ht="16.2" customHeight="1" thickBot="1" x14ac:dyDescent="0.3">
      <c r="A57" s="3">
        <v>6</v>
      </c>
      <c r="B57" s="3"/>
      <c r="C57" s="3"/>
      <c r="D57" s="3"/>
      <c r="E57" s="3"/>
      <c r="F57" s="3"/>
      <c r="G57" s="3"/>
    </row>
  </sheetData>
  <mergeCells count="6">
    <mergeCell ref="B2:D2"/>
    <mergeCell ref="T2:V2"/>
    <mergeCell ref="K2:M2"/>
    <mergeCell ref="W2:X2"/>
    <mergeCell ref="E2:F2"/>
    <mergeCell ref="N2:O2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1-1_Acceleration</vt:lpstr>
      <vt:lpstr>2-1_Acceleration</vt:lpstr>
      <vt:lpstr>3-1_Acceleration</vt:lpstr>
      <vt:lpstr>结果对比</vt:lpstr>
      <vt:lpstr>模型一致性对比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Jh Yang</cp:lastModifiedBy>
  <dcterms:created xsi:type="dcterms:W3CDTF">2025-07-16T08:31:53Z</dcterms:created>
  <dcterms:modified xsi:type="dcterms:W3CDTF">2025-07-18T06:41:50Z</dcterms:modified>
</cp:coreProperties>
</file>