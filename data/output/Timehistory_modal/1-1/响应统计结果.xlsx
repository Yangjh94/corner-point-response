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YJh\github\corner-point-response\data\output\Timehistory_modal\1-1\"/>
    </mc:Choice>
  </mc:AlternateContent>
  <xr:revisionPtr revIDLastSave="0" documentId="13_ncr:1_{4E07357A-F1D6-43F9-84F2-823A2CDE194F}" xr6:coauthVersionLast="36" xr6:coauthVersionMax="36" xr10:uidLastSave="{00000000-0000-0000-0000-000000000000}"/>
  <bookViews>
    <workbookView xWindow="-28920" yWindow="-120" windowWidth="29040" windowHeight="16440" activeTab="1" xr2:uid="{00000000-000D-0000-FFFF-FFFF00000000}"/>
  </bookViews>
  <sheets>
    <sheet name="Acceleration" sheetId="1" r:id="rId1"/>
    <sheet name="Sheet1" sheetId="2" r:id="rId2"/>
  </sheets>
  <calcPr calcId="191029"/>
</workbook>
</file>

<file path=xl/calcChain.xml><?xml version="1.0" encoding="utf-8"?>
<calcChain xmlns="http://schemas.openxmlformats.org/spreadsheetml/2006/main">
  <c r="J14" i="2" l="1"/>
  <c r="I14" i="2"/>
  <c r="H14" i="2"/>
  <c r="J13" i="2"/>
  <c r="I13" i="2"/>
  <c r="H13" i="2"/>
  <c r="J12" i="2"/>
  <c r="I12" i="2"/>
  <c r="H12" i="2"/>
  <c r="J11" i="2"/>
  <c r="I11" i="2"/>
  <c r="H11" i="2"/>
  <c r="J10" i="2"/>
  <c r="I10" i="2"/>
  <c r="H10" i="2"/>
  <c r="J9" i="2"/>
  <c r="I9" i="2"/>
  <c r="H9" i="2"/>
  <c r="J8" i="2"/>
  <c r="I8" i="2"/>
  <c r="H8" i="2"/>
  <c r="J7" i="2"/>
  <c r="I7" i="2"/>
  <c r="H7" i="2"/>
  <c r="J6" i="2"/>
  <c r="I6" i="2"/>
  <c r="H6" i="2"/>
  <c r="J5" i="2"/>
  <c r="I5" i="2"/>
  <c r="H5" i="2"/>
</calcChain>
</file>

<file path=xl/sharedStrings.xml><?xml version="1.0" encoding="utf-8"?>
<sst xmlns="http://schemas.openxmlformats.org/spreadsheetml/2006/main" count="48" uniqueCount="42">
  <si>
    <t>folder</t>
  </si>
  <si>
    <t>angle</t>
  </si>
  <si>
    <t>P195_UX_extreme</t>
  </si>
  <si>
    <t>P195_UY_extreme</t>
  </si>
  <si>
    <t>P195_RZ_extreme</t>
  </si>
  <si>
    <t>P195_range_2D_extreme</t>
  </si>
  <si>
    <t>P54000062_UX_extreme</t>
  </si>
  <si>
    <t>P54000062_UY_extreme</t>
  </si>
  <si>
    <t>P54000062_RZ_extreme</t>
  </si>
  <si>
    <t>P54000062_range_2D_extreme</t>
  </si>
  <si>
    <t>P54000070_UX_extreme</t>
  </si>
  <si>
    <t>P54000070_UY_extreme</t>
  </si>
  <si>
    <t>P54000070_RZ_extreme</t>
  </si>
  <si>
    <t>P54000070_range_2D_extreme</t>
  </si>
  <si>
    <t>P54000071_UX_extreme</t>
  </si>
  <si>
    <t>P54000071_UY_extreme</t>
  </si>
  <si>
    <t>P54000071_RZ_extreme</t>
  </si>
  <si>
    <t>P54000071_range_2D_extreme</t>
  </si>
  <si>
    <t>P54000079_UX_extreme</t>
  </si>
  <si>
    <t>P54000079_UY_extreme</t>
  </si>
  <si>
    <t>P54000079_RZ_extreme</t>
  </si>
  <si>
    <t>P54000079_range_2D_extreme</t>
  </si>
  <si>
    <t>Model2_10yr_000</t>
  </si>
  <si>
    <t>Model2_10yr_005</t>
  </si>
  <si>
    <t>Model2_10yr_010</t>
  </si>
  <si>
    <t>Model2_10yr_015</t>
  </si>
  <si>
    <t>Model2_10yr_020</t>
  </si>
  <si>
    <t>Model2_10yr_025</t>
  </si>
  <si>
    <t>Model2_10yr_030</t>
  </si>
  <si>
    <t>Model2_10yr_035</t>
  </si>
  <si>
    <t>Model2_10yr_040</t>
  </si>
  <si>
    <t>Model2_10yr_045</t>
  </si>
  <si>
    <t>图18(a)</t>
  </si>
  <si>
    <t>1-1模型</t>
  </si>
  <si>
    <t>matlab</t>
  </si>
  <si>
    <t>集中质量模型</t>
  </si>
  <si>
    <t>SAP2000模型</t>
  </si>
  <si>
    <t>偏差(%)</t>
  </si>
  <si>
    <t>角度</t>
  </si>
  <si>
    <t>X</t>
  </si>
  <si>
    <t>Y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</si>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</sst>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Sheet1!$E$5:$E$14</c:f>
              <c:numCache>
                <c:formatCode>General</c:formatCode>
                <c:ptCount val="10"/>
                <c:pt idx="0">
                  <c:v>6.9769999999999999E-2</c:v>
                </c:pt>
                <c:pt idx="1">
                  <c:v>6.9930000000000006E-2</c:v>
                </c:pt>
                <c:pt idx="2">
                  <c:v>5.9639999999999999E-2</c:v>
                </c:pt>
                <c:pt idx="3">
                  <c:v>6.4280000000000004E-2</c:v>
                </c:pt>
                <c:pt idx="4">
                  <c:v>5.4140000000000001E-2</c:v>
                </c:pt>
                <c:pt idx="5">
                  <c:v>5.4609999999999999E-2</c:v>
                </c:pt>
                <c:pt idx="6">
                  <c:v>5.33E-2</c:v>
                </c:pt>
                <c:pt idx="7">
                  <c:v>5.9360000000000003E-2</c:v>
                </c:pt>
                <c:pt idx="8">
                  <c:v>5.9159999999999997E-2</c:v>
                </c:pt>
                <c:pt idx="9">
                  <c:v>5.6919999999999998E-2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52-4732-BA29-1230A069F59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Sheet1!$F$5:$F$14</c:f>
              <c:numCache>
                <c:formatCode>General</c:formatCode>
                <c:ptCount val="10"/>
                <c:pt idx="0">
                  <c:v>0.1265</c:v>
                </c:pt>
                <c:pt idx="1">
                  <c:v>0.14530999999999999</c:v>
                </c:pt>
                <c:pt idx="2">
                  <c:v>0.13275000000000001</c:v>
                </c:pt>
                <c:pt idx="3">
                  <c:v>0.11869</c:v>
                </c:pt>
                <c:pt idx="4">
                  <c:v>9.9510000000000001E-2</c:v>
                </c:pt>
                <c:pt idx="5">
                  <c:v>8.181999999999999E-2</c:v>
                </c:pt>
                <c:pt idx="6">
                  <c:v>8.2019999999999996E-2</c:v>
                </c:pt>
                <c:pt idx="7">
                  <c:v>7.3209999999999997E-2</c:v>
                </c:pt>
                <c:pt idx="8">
                  <c:v>6.5680000000000002E-2</c:v>
                </c:pt>
                <c:pt idx="9">
                  <c:v>6.5370000000000011E-2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52-4732-BA29-1230A069F59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Sheet1!$G$5:$G$14</c:f>
              <c:numCache>
                <c:formatCode>General</c:formatCode>
                <c:ptCount val="10"/>
                <c:pt idx="0">
                  <c:v>0.12695000000000001</c:v>
                </c:pt>
                <c:pt idx="1">
                  <c:v>0.14552999999999999</c:v>
                </c:pt>
                <c:pt idx="2">
                  <c:v>0.13299</c:v>
                </c:pt>
                <c:pt idx="3">
                  <c:v>0.11885999999999999</c:v>
                </c:pt>
                <c:pt idx="4">
                  <c:v>9.955E-2</c:v>
                </c:pt>
                <c:pt idx="5">
                  <c:v>8.1939999999999999E-2</c:v>
                </c:pt>
                <c:pt idx="6">
                  <c:v>8.2170000000000007E-2</c:v>
                </c:pt>
                <c:pt idx="7">
                  <c:v>7.5400000000000009E-2</c:v>
                </c:pt>
                <c:pt idx="8">
                  <c:v>7.0730000000000001E-2</c:v>
                </c:pt>
                <c:pt idx="9">
                  <c:v>6.9339999999999999E-2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52-4732-BA29-1230A069F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9407936"/>
        <c:axId val="639398936"/>
      </c:lineChart>
      <c:catAx>
        <c:axId val="6394079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398936"/>
        <c:crosses val="autoZero"/>
        <c:auto val="1"/>
        <c:lblAlgn val="ctr"/>
        <c:lblOffset val="100"/>
        <c:noMultiLvlLbl val="0"/>
      </c:catAx>
      <c:valAx>
        <c:axId val="639398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40793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505777</xdr:colOff>
      <xdr:row>3</xdr:row>
      <xdr:rowOff>81915</xdr:rowOff>
    </xdr:from>
    <xdr:to>
      <xdr:col>20</xdr:col>
      <xdr:colOff>200977</xdr:colOff>
      <xdr:row>18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topLeftCell="E1" workbookViewId="0">
      <selection activeCell="G2" sqref="G2:H11"/>
    </sheetView>
  </sheetViews>
  <sheetFormatPr defaultRowHeight="13.5" x14ac:dyDescent="0.15"/>
  <cols>
    <col min="1" max="1" width="17.25" bestFit="1" customWidth="1"/>
    <col min="2" max="2" width="7.375" bestFit="1" customWidth="1"/>
    <col min="3" max="5" width="19.5" bestFit="1" customWidth="1"/>
    <col min="6" max="6" width="27" bestFit="1" customWidth="1"/>
    <col min="7" max="9" width="25.75" bestFit="1" customWidth="1"/>
    <col min="10" max="10" width="33.25" bestFit="1" customWidth="1"/>
    <col min="11" max="13" width="25.75" bestFit="1" customWidth="1"/>
    <col min="14" max="14" width="33.25" bestFit="1" customWidth="1"/>
    <col min="15" max="17" width="25.75" bestFit="1" customWidth="1"/>
    <col min="18" max="18" width="33.25" bestFit="1" customWidth="1"/>
    <col min="19" max="21" width="25.75" bestFit="1" customWidth="1"/>
    <col min="22" max="22" width="33.25" bestFit="1" customWidth="1"/>
  </cols>
  <sheetData>
    <row r="1" spans="1:22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15">
      <c r="A2" t="s">
        <v>22</v>
      </c>
      <c r="B2">
        <v>0</v>
      </c>
      <c r="C2">
        <v>6.4510000000000012E-2</v>
      </c>
      <c r="D2">
        <v>0.12007</v>
      </c>
      <c r="E2">
        <v>0</v>
      </c>
      <c r="F2">
        <v>0.12007</v>
      </c>
      <c r="G2">
        <v>6.9769999999999999E-2</v>
      </c>
      <c r="H2">
        <v>0.1265</v>
      </c>
      <c r="I2">
        <v>0</v>
      </c>
      <c r="J2">
        <v>0.12695000000000001</v>
      </c>
      <c r="K2">
        <v>6.9769999999999999E-2</v>
      </c>
      <c r="L2">
        <v>0.11637</v>
      </c>
      <c r="M2">
        <v>0</v>
      </c>
      <c r="N2">
        <v>0.1164</v>
      </c>
      <c r="O2">
        <v>6.473000000000001E-2</v>
      </c>
      <c r="P2">
        <v>0.1265</v>
      </c>
      <c r="Q2">
        <v>0</v>
      </c>
      <c r="R2">
        <v>0.12665999999999999</v>
      </c>
      <c r="S2">
        <v>6.473000000000001E-2</v>
      </c>
      <c r="T2">
        <v>0.11637</v>
      </c>
      <c r="U2">
        <v>0</v>
      </c>
      <c r="V2">
        <v>0.11650000000000001</v>
      </c>
    </row>
    <row r="3" spans="1:22" x14ac:dyDescent="0.15">
      <c r="A3" t="s">
        <v>23</v>
      </c>
      <c r="B3">
        <v>5</v>
      </c>
      <c r="C3">
        <v>6.4549999999999996E-2</v>
      </c>
      <c r="D3">
        <v>0.13819000000000001</v>
      </c>
      <c r="E3">
        <v>0</v>
      </c>
      <c r="F3">
        <v>0.13821</v>
      </c>
      <c r="G3">
        <v>6.9930000000000006E-2</v>
      </c>
      <c r="H3">
        <v>0.14530999999999999</v>
      </c>
      <c r="I3">
        <v>0</v>
      </c>
      <c r="J3">
        <v>0.14552999999999999</v>
      </c>
      <c r="K3">
        <v>6.9930000000000006E-2</v>
      </c>
      <c r="L3">
        <v>0.13381000000000001</v>
      </c>
      <c r="M3">
        <v>0</v>
      </c>
      <c r="N3">
        <v>0.13381000000000001</v>
      </c>
      <c r="O3">
        <v>6.5129999999999993E-2</v>
      </c>
      <c r="P3">
        <v>0.14530999999999999</v>
      </c>
      <c r="Q3">
        <v>0</v>
      </c>
      <c r="R3">
        <v>0.14563000000000001</v>
      </c>
      <c r="S3">
        <v>6.5129999999999993E-2</v>
      </c>
      <c r="T3">
        <v>0.13381000000000001</v>
      </c>
      <c r="U3">
        <v>0</v>
      </c>
      <c r="V3">
        <v>0.13408999999999999</v>
      </c>
    </row>
    <row r="4" spans="1:22" x14ac:dyDescent="0.15">
      <c r="A4" t="s">
        <v>24</v>
      </c>
      <c r="B4">
        <v>10</v>
      </c>
      <c r="C4">
        <v>5.4309999999999997E-2</v>
      </c>
      <c r="D4">
        <v>0.12629000000000001</v>
      </c>
      <c r="E4">
        <v>0</v>
      </c>
      <c r="F4">
        <v>0.1263</v>
      </c>
      <c r="G4">
        <v>5.9639999999999999E-2</v>
      </c>
      <c r="H4">
        <v>0.13275000000000001</v>
      </c>
      <c r="I4">
        <v>0</v>
      </c>
      <c r="J4">
        <v>0.13299</v>
      </c>
      <c r="K4">
        <v>5.9639999999999999E-2</v>
      </c>
      <c r="L4">
        <v>0.12252</v>
      </c>
      <c r="M4">
        <v>0</v>
      </c>
      <c r="N4">
        <v>0.12254</v>
      </c>
      <c r="O4">
        <v>5.525E-2</v>
      </c>
      <c r="P4">
        <v>0.13275000000000001</v>
      </c>
      <c r="Q4">
        <v>0</v>
      </c>
      <c r="R4">
        <v>0.13300999999999999</v>
      </c>
      <c r="S4">
        <v>5.525E-2</v>
      </c>
      <c r="T4">
        <v>0.12252</v>
      </c>
      <c r="U4">
        <v>0</v>
      </c>
      <c r="V4">
        <v>0.12271</v>
      </c>
    </row>
    <row r="5" spans="1:22" x14ac:dyDescent="0.15">
      <c r="A5" t="s">
        <v>25</v>
      </c>
      <c r="B5">
        <v>15</v>
      </c>
      <c r="C5">
        <v>5.9229999999999998E-2</v>
      </c>
      <c r="D5">
        <v>0.11301</v>
      </c>
      <c r="E5">
        <v>0</v>
      </c>
      <c r="F5">
        <v>0.11305</v>
      </c>
      <c r="G5">
        <v>6.4280000000000004E-2</v>
      </c>
      <c r="H5">
        <v>0.11869</v>
      </c>
      <c r="I5">
        <v>0</v>
      </c>
      <c r="J5">
        <v>0.11885999999999999</v>
      </c>
      <c r="K5">
        <v>6.4280000000000004E-2</v>
      </c>
      <c r="L5">
        <v>0.11022</v>
      </c>
      <c r="M5">
        <v>0</v>
      </c>
      <c r="N5">
        <v>0.11024</v>
      </c>
      <c r="O5">
        <v>6.012E-2</v>
      </c>
      <c r="P5">
        <v>0.11869</v>
      </c>
      <c r="Q5">
        <v>0</v>
      </c>
      <c r="R5">
        <v>0.11905</v>
      </c>
      <c r="S5">
        <v>6.012E-2</v>
      </c>
      <c r="T5">
        <v>0.11022</v>
      </c>
      <c r="U5">
        <v>0</v>
      </c>
      <c r="V5">
        <v>0.1105</v>
      </c>
    </row>
    <row r="6" spans="1:22" x14ac:dyDescent="0.15">
      <c r="A6" t="s">
        <v>26</v>
      </c>
      <c r="B6">
        <v>20</v>
      </c>
      <c r="C6">
        <v>4.9910000000000003E-2</v>
      </c>
      <c r="D6">
        <v>9.4790000000000013E-2</v>
      </c>
      <c r="E6">
        <v>0</v>
      </c>
      <c r="F6">
        <v>9.4879999999999992E-2</v>
      </c>
      <c r="G6">
        <v>5.4140000000000001E-2</v>
      </c>
      <c r="H6">
        <v>9.9510000000000001E-2</v>
      </c>
      <c r="I6">
        <v>0</v>
      </c>
      <c r="J6">
        <v>9.955E-2</v>
      </c>
      <c r="K6">
        <v>5.4140000000000001E-2</v>
      </c>
      <c r="L6">
        <v>9.2450000000000004E-2</v>
      </c>
      <c r="M6">
        <v>0</v>
      </c>
      <c r="N6">
        <v>9.2499999999999999E-2</v>
      </c>
      <c r="O6">
        <v>5.0380000000000001E-2</v>
      </c>
      <c r="P6">
        <v>9.9510000000000001E-2</v>
      </c>
      <c r="Q6">
        <v>0</v>
      </c>
      <c r="R6">
        <v>9.9919999999999995E-2</v>
      </c>
      <c r="S6">
        <v>5.0380000000000001E-2</v>
      </c>
      <c r="T6">
        <v>9.2450000000000004E-2</v>
      </c>
      <c r="U6">
        <v>0</v>
      </c>
      <c r="V6">
        <v>9.2799999999999994E-2</v>
      </c>
    </row>
    <row r="7" spans="1:22" x14ac:dyDescent="0.15">
      <c r="A7" t="s">
        <v>27</v>
      </c>
      <c r="B7">
        <v>25</v>
      </c>
      <c r="C7">
        <v>5.0889999999999998E-2</v>
      </c>
      <c r="D7">
        <v>7.7719999999999997E-2</v>
      </c>
      <c r="E7">
        <v>0</v>
      </c>
      <c r="F7">
        <v>7.7790000000000012E-2</v>
      </c>
      <c r="G7">
        <v>5.4609999999999999E-2</v>
      </c>
      <c r="H7">
        <v>8.181999999999999E-2</v>
      </c>
      <c r="I7">
        <v>0</v>
      </c>
      <c r="J7">
        <v>8.1939999999999999E-2</v>
      </c>
      <c r="K7">
        <v>5.4609999999999999E-2</v>
      </c>
      <c r="L7">
        <v>7.5870000000000007E-2</v>
      </c>
      <c r="M7">
        <v>0</v>
      </c>
      <c r="N7">
        <v>7.5950000000000004E-2</v>
      </c>
      <c r="O7">
        <v>5.1290000000000002E-2</v>
      </c>
      <c r="P7">
        <v>8.181999999999999E-2</v>
      </c>
      <c r="Q7">
        <v>0</v>
      </c>
      <c r="R7">
        <v>8.2189999999999999E-2</v>
      </c>
      <c r="S7">
        <v>5.1290000000000002E-2</v>
      </c>
      <c r="T7">
        <v>7.5870000000000007E-2</v>
      </c>
      <c r="U7">
        <v>0</v>
      </c>
      <c r="V7">
        <v>7.6239999999999988E-2</v>
      </c>
    </row>
    <row r="8" spans="1:22" x14ac:dyDescent="0.15">
      <c r="A8" t="s">
        <v>28</v>
      </c>
      <c r="B8">
        <v>30</v>
      </c>
      <c r="C8">
        <v>5.0099999999999999E-2</v>
      </c>
      <c r="D8">
        <v>7.7930000000000013E-2</v>
      </c>
      <c r="E8">
        <v>0</v>
      </c>
      <c r="F8">
        <v>7.7959999999999988E-2</v>
      </c>
      <c r="G8">
        <v>5.33E-2</v>
      </c>
      <c r="H8">
        <v>8.2019999999999996E-2</v>
      </c>
      <c r="I8">
        <v>0</v>
      </c>
      <c r="J8">
        <v>8.2170000000000007E-2</v>
      </c>
      <c r="K8">
        <v>5.33E-2</v>
      </c>
      <c r="L8">
        <v>7.5700000000000003E-2</v>
      </c>
      <c r="M8">
        <v>0</v>
      </c>
      <c r="N8">
        <v>7.571E-2</v>
      </c>
      <c r="O8">
        <v>5.0349999999999999E-2</v>
      </c>
      <c r="P8">
        <v>8.2019999999999996E-2</v>
      </c>
      <c r="Q8">
        <v>0</v>
      </c>
      <c r="R8">
        <v>8.2290000000000002E-2</v>
      </c>
      <c r="S8">
        <v>5.0349999999999999E-2</v>
      </c>
      <c r="T8">
        <v>7.5700000000000003E-2</v>
      </c>
      <c r="U8">
        <v>0</v>
      </c>
      <c r="V8">
        <v>7.5989999999999988E-2</v>
      </c>
    </row>
    <row r="9" spans="1:22" x14ac:dyDescent="0.15">
      <c r="A9" t="s">
        <v>29</v>
      </c>
      <c r="B9">
        <v>35</v>
      </c>
      <c r="C9">
        <v>5.6300000000000003E-2</v>
      </c>
      <c r="D9">
        <v>6.966E-2</v>
      </c>
      <c r="E9">
        <v>0</v>
      </c>
      <c r="F9">
        <v>7.1650000000000005E-2</v>
      </c>
      <c r="G9">
        <v>5.9360000000000003E-2</v>
      </c>
      <c r="H9">
        <v>7.3209999999999997E-2</v>
      </c>
      <c r="I9">
        <v>0</v>
      </c>
      <c r="J9">
        <v>7.5400000000000009E-2</v>
      </c>
      <c r="K9">
        <v>5.9360000000000003E-2</v>
      </c>
      <c r="L9">
        <v>6.7849999999999994E-2</v>
      </c>
      <c r="M9">
        <v>0</v>
      </c>
      <c r="N9">
        <v>7.2120000000000004E-2</v>
      </c>
      <c r="O9">
        <v>5.5879999999999999E-2</v>
      </c>
      <c r="P9">
        <v>7.3209999999999997E-2</v>
      </c>
      <c r="Q9">
        <v>0</v>
      </c>
      <c r="R9">
        <v>7.3810000000000001E-2</v>
      </c>
      <c r="S9">
        <v>5.5879999999999999E-2</v>
      </c>
      <c r="T9">
        <v>6.7849999999999994E-2</v>
      </c>
      <c r="U9">
        <v>0</v>
      </c>
      <c r="V9">
        <v>7.0319999999999994E-2</v>
      </c>
    </row>
    <row r="10" spans="1:22" x14ac:dyDescent="0.15">
      <c r="A10" t="s">
        <v>30</v>
      </c>
      <c r="B10">
        <v>40</v>
      </c>
      <c r="C10">
        <v>5.6090000000000001E-2</v>
      </c>
      <c r="D10">
        <v>6.2020000000000013E-2</v>
      </c>
      <c r="E10">
        <v>0</v>
      </c>
      <c r="F10">
        <v>6.6909999999999997E-2</v>
      </c>
      <c r="G10">
        <v>5.9159999999999997E-2</v>
      </c>
      <c r="H10">
        <v>6.5680000000000002E-2</v>
      </c>
      <c r="I10">
        <v>0</v>
      </c>
      <c r="J10">
        <v>7.0730000000000001E-2</v>
      </c>
      <c r="K10">
        <v>5.9159999999999997E-2</v>
      </c>
      <c r="L10">
        <v>5.9990000000000002E-2</v>
      </c>
      <c r="M10">
        <v>0</v>
      </c>
      <c r="N10">
        <v>6.7420000000000008E-2</v>
      </c>
      <c r="O10">
        <v>5.5229999999999987E-2</v>
      </c>
      <c r="P10">
        <v>6.5680000000000002E-2</v>
      </c>
      <c r="Q10">
        <v>0</v>
      </c>
      <c r="R10">
        <v>6.8659999999999999E-2</v>
      </c>
      <c r="S10">
        <v>5.5229999999999987E-2</v>
      </c>
      <c r="T10">
        <v>5.9990000000000002E-2</v>
      </c>
      <c r="U10">
        <v>0</v>
      </c>
      <c r="V10">
        <v>6.5239999999999992E-2</v>
      </c>
    </row>
    <row r="11" spans="1:22" x14ac:dyDescent="0.15">
      <c r="A11" t="s">
        <v>31</v>
      </c>
      <c r="B11">
        <v>45</v>
      </c>
      <c r="C11">
        <v>5.4090000000000013E-2</v>
      </c>
      <c r="D11">
        <v>6.1940000000000002E-2</v>
      </c>
      <c r="E11">
        <v>0</v>
      </c>
      <c r="F11">
        <v>6.5790000000000001E-2</v>
      </c>
      <c r="G11">
        <v>5.6919999999999998E-2</v>
      </c>
      <c r="H11">
        <v>6.5370000000000011E-2</v>
      </c>
      <c r="I11">
        <v>0</v>
      </c>
      <c r="J11">
        <v>6.9339999999999999E-2</v>
      </c>
      <c r="K11">
        <v>5.6919999999999998E-2</v>
      </c>
      <c r="L11">
        <v>5.9889999999999999E-2</v>
      </c>
      <c r="M11">
        <v>0</v>
      </c>
      <c r="N11">
        <v>6.6099999999999992E-2</v>
      </c>
      <c r="O11">
        <v>5.3159999999999999E-2</v>
      </c>
      <c r="P11">
        <v>6.5370000000000011E-2</v>
      </c>
      <c r="Q11">
        <v>0</v>
      </c>
      <c r="R11">
        <v>6.7409999999999998E-2</v>
      </c>
      <c r="S11">
        <v>5.3159999999999999E-2</v>
      </c>
      <c r="T11">
        <v>5.9889999999999999E-2</v>
      </c>
      <c r="U11">
        <v>0</v>
      </c>
      <c r="V11">
        <v>6.4069999999999988E-2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6"/>
  <sheetViews>
    <sheetView tabSelected="1" topLeftCell="A13" workbookViewId="0">
      <selection activeCell="L38" sqref="L38"/>
    </sheetView>
  </sheetViews>
  <sheetFormatPr defaultRowHeight="13.5" x14ac:dyDescent="0.15"/>
  <sheetData>
    <row r="1" spans="1:18" x14ac:dyDescent="0.15">
      <c r="A1" t="s">
        <v>32</v>
      </c>
    </row>
    <row r="2" spans="1:18" x14ac:dyDescent="0.15">
      <c r="A2" t="s">
        <v>33</v>
      </c>
    </row>
    <row r="3" spans="1:18" x14ac:dyDescent="0.15">
      <c r="A3" t="s">
        <v>34</v>
      </c>
      <c r="B3" s="2" t="s">
        <v>35</v>
      </c>
      <c r="C3" s="3"/>
      <c r="D3" s="3"/>
      <c r="E3" s="2" t="s">
        <v>36</v>
      </c>
      <c r="F3" s="3"/>
      <c r="G3" s="3"/>
      <c r="H3" s="2" t="s">
        <v>37</v>
      </c>
      <c r="I3" s="3"/>
      <c r="J3" s="3"/>
    </row>
    <row r="4" spans="1:18" x14ac:dyDescent="0.15">
      <c r="A4" t="s">
        <v>38</v>
      </c>
      <c r="B4" t="s">
        <v>39</v>
      </c>
      <c r="C4" t="s">
        <v>40</v>
      </c>
      <c r="D4" t="s">
        <v>41</v>
      </c>
      <c r="E4" t="s">
        <v>39</v>
      </c>
      <c r="F4" t="s">
        <v>40</v>
      </c>
      <c r="G4" t="s">
        <v>41</v>
      </c>
      <c r="H4" t="s">
        <v>39</v>
      </c>
      <c r="I4" t="s">
        <v>40</v>
      </c>
      <c r="J4" t="s">
        <v>41</v>
      </c>
    </row>
    <row r="5" spans="1:18" x14ac:dyDescent="0.15">
      <c r="A5">
        <v>0</v>
      </c>
      <c r="B5">
        <v>0.14461754225656301</v>
      </c>
      <c r="C5">
        <v>0.22422937900353401</v>
      </c>
      <c r="D5">
        <v>0.22881801939514301</v>
      </c>
      <c r="E5">
        <v>6.9769999999999999E-2</v>
      </c>
      <c r="F5">
        <v>0.1265</v>
      </c>
      <c r="G5">
        <v>0.12695000000000001</v>
      </c>
      <c r="H5">
        <f t="shared" ref="H5:H14" si="0">(E5-B5)/B5</f>
        <v>-0.51755507035085357</v>
      </c>
      <c r="I5">
        <f t="shared" ref="I5:I14" si="1">(F5-C5)/C5</f>
        <v>-0.43584555885512988</v>
      </c>
      <c r="J5">
        <f t="shared" ref="J5:J14" si="2">(G5-D5)/D5</f>
        <v>-0.44519229588832504</v>
      </c>
    </row>
    <row r="6" spans="1:18" x14ac:dyDescent="0.15">
      <c r="A6">
        <v>8.7266462599716502E-2</v>
      </c>
      <c r="B6">
        <v>0.14574383059780099</v>
      </c>
      <c r="C6">
        <v>0.23891485265779699</v>
      </c>
      <c r="D6">
        <v>0.242018594909096</v>
      </c>
      <c r="E6">
        <v>6.9930000000000006E-2</v>
      </c>
      <c r="F6">
        <v>0.14530999999999999</v>
      </c>
      <c r="G6">
        <v>0.14552999999999999</v>
      </c>
      <c r="H6">
        <f t="shared" si="0"/>
        <v>-0.52018552200002954</v>
      </c>
      <c r="I6">
        <f t="shared" si="1"/>
        <v>-0.39179168484710863</v>
      </c>
      <c r="J6">
        <f t="shared" si="2"/>
        <v>-0.39868256794622681</v>
      </c>
    </row>
    <row r="7" spans="1:18" x14ac:dyDescent="0.15">
      <c r="A7">
        <v>0.174532925199433</v>
      </c>
      <c r="B7">
        <v>0.123218319821101</v>
      </c>
      <c r="C7">
        <v>0.195550423711429</v>
      </c>
      <c r="D7">
        <v>0.19790102555998401</v>
      </c>
      <c r="E7">
        <v>5.9639999999999999E-2</v>
      </c>
      <c r="F7">
        <v>0.13275000000000001</v>
      </c>
      <c r="G7">
        <v>0.13299</v>
      </c>
      <c r="H7">
        <f t="shared" si="0"/>
        <v>-0.51598106445055814</v>
      </c>
      <c r="I7">
        <f t="shared" si="1"/>
        <v>-0.32114695800456405</v>
      </c>
      <c r="J7">
        <f t="shared" si="2"/>
        <v>-0.32799741879209926</v>
      </c>
    </row>
    <row r="8" spans="1:18" x14ac:dyDescent="0.15">
      <c r="A8">
        <v>0.26179938779914902</v>
      </c>
      <c r="B8">
        <v>0.119190932832967</v>
      </c>
      <c r="C8">
        <v>0.19996638206058301</v>
      </c>
      <c r="D8">
        <v>0.201287478382664</v>
      </c>
      <c r="E8">
        <v>6.4280000000000004E-2</v>
      </c>
      <c r="F8">
        <v>0.11869</v>
      </c>
      <c r="G8">
        <v>0.11885999999999999</v>
      </c>
      <c r="H8">
        <f t="shared" si="0"/>
        <v>-0.46069723197752499</v>
      </c>
      <c r="I8">
        <f t="shared" si="1"/>
        <v>-0.40645023039902289</v>
      </c>
      <c r="J8">
        <f t="shared" si="2"/>
        <v>-0.40950127173813872</v>
      </c>
    </row>
    <row r="9" spans="1:18" x14ac:dyDescent="0.15">
      <c r="A9">
        <v>0.34906585039886601</v>
      </c>
      <c r="B9">
        <v>0.105740550632465</v>
      </c>
      <c r="C9">
        <v>0.14722937110335699</v>
      </c>
      <c r="D9">
        <v>0.150365553159441</v>
      </c>
      <c r="E9">
        <v>5.4140000000000001E-2</v>
      </c>
      <c r="F9">
        <v>9.9510000000000001E-2</v>
      </c>
      <c r="G9">
        <v>9.955E-2</v>
      </c>
      <c r="H9">
        <f t="shared" si="0"/>
        <v>-0.48799207422154595</v>
      </c>
      <c r="I9">
        <f t="shared" si="1"/>
        <v>-0.32411583874699396</v>
      </c>
      <c r="J9">
        <f t="shared" si="2"/>
        <v>-0.33794677099720061</v>
      </c>
    </row>
    <row r="10" spans="1:18" x14ac:dyDescent="0.15">
      <c r="A10">
        <v>0.43633231299858199</v>
      </c>
      <c r="B10">
        <v>0.113151330133636</v>
      </c>
      <c r="C10">
        <v>0.11653426316692</v>
      </c>
      <c r="D10">
        <v>0.129943884511105</v>
      </c>
      <c r="E10">
        <v>5.4609999999999999E-2</v>
      </c>
      <c r="F10">
        <v>8.181999999999999E-2</v>
      </c>
      <c r="G10">
        <v>8.1939999999999999E-2</v>
      </c>
      <c r="H10">
        <f t="shared" si="0"/>
        <v>-0.51737200141170658</v>
      </c>
      <c r="I10">
        <f t="shared" si="1"/>
        <v>-0.29788889742406832</v>
      </c>
      <c r="J10">
        <f t="shared" si="2"/>
        <v>-0.36942011308737344</v>
      </c>
    </row>
    <row r="11" spans="1:18" x14ac:dyDescent="0.15">
      <c r="A11">
        <v>0.52359877559829904</v>
      </c>
      <c r="B11">
        <v>0.10481180814546701</v>
      </c>
      <c r="C11">
        <v>0.12734449340182</v>
      </c>
      <c r="D11">
        <v>0.13194455836051999</v>
      </c>
      <c r="E11">
        <v>5.33E-2</v>
      </c>
      <c r="F11">
        <v>8.2019999999999996E-2</v>
      </c>
      <c r="G11">
        <v>8.2170000000000007E-2</v>
      </c>
      <c r="H11">
        <f t="shared" si="0"/>
        <v>-0.49146951146930323</v>
      </c>
      <c r="I11">
        <f t="shared" si="1"/>
        <v>-0.3559203243975701</v>
      </c>
      <c r="J11">
        <f t="shared" si="2"/>
        <v>-0.37723843240672333</v>
      </c>
    </row>
    <row r="12" spans="1:18" x14ac:dyDescent="0.15">
      <c r="A12">
        <v>0.61086523819801497</v>
      </c>
      <c r="B12">
        <v>0.11044656620889901</v>
      </c>
      <c r="C12">
        <v>0.114415712852866</v>
      </c>
      <c r="D12">
        <v>0.12722112864763599</v>
      </c>
      <c r="E12">
        <v>5.9360000000000003E-2</v>
      </c>
      <c r="F12">
        <v>7.3209999999999997E-2</v>
      </c>
      <c r="G12">
        <v>7.5400000000000009E-2</v>
      </c>
      <c r="H12">
        <f t="shared" si="0"/>
        <v>-0.46254553638429735</v>
      </c>
      <c r="I12">
        <f t="shared" si="1"/>
        <v>-0.36014033234976117</v>
      </c>
      <c r="J12">
        <f t="shared" si="2"/>
        <v>-0.40733115008879395</v>
      </c>
    </row>
    <row r="13" spans="1:18" x14ac:dyDescent="0.15">
      <c r="A13">
        <v>0.69813170079773201</v>
      </c>
      <c r="B13">
        <v>0.102752485148652</v>
      </c>
      <c r="C13">
        <v>9.6404404302761398E-2</v>
      </c>
      <c r="D13">
        <v>0.112717366536148</v>
      </c>
      <c r="E13">
        <v>5.9159999999999997E-2</v>
      </c>
      <c r="F13">
        <v>6.5680000000000002E-2</v>
      </c>
      <c r="G13">
        <v>7.0730000000000001E-2</v>
      </c>
      <c r="H13">
        <f t="shared" si="0"/>
        <v>-0.42424750200043104</v>
      </c>
      <c r="I13">
        <f t="shared" si="1"/>
        <v>-0.31870332610811358</v>
      </c>
      <c r="J13">
        <f t="shared" si="2"/>
        <v>-0.37250130859544894</v>
      </c>
    </row>
    <row r="14" spans="1:18" x14ac:dyDescent="0.15">
      <c r="A14">
        <v>0.78539816339744795</v>
      </c>
      <c r="B14">
        <v>9.72536592135958E-2</v>
      </c>
      <c r="C14">
        <v>0.10631356936144</v>
      </c>
      <c r="D14">
        <v>0.115269005057364</v>
      </c>
      <c r="E14">
        <v>5.6919999999999998E-2</v>
      </c>
      <c r="F14">
        <v>6.5370000000000011E-2</v>
      </c>
      <c r="G14">
        <v>6.9339999999999999E-2</v>
      </c>
      <c r="H14">
        <f t="shared" si="0"/>
        <v>-0.41472639219684254</v>
      </c>
      <c r="I14">
        <f t="shared" si="1"/>
        <v>-0.38512082330941139</v>
      </c>
      <c r="J14">
        <f t="shared" si="2"/>
        <v>-0.39845060720795916</v>
      </c>
    </row>
    <row r="15" spans="1:18" x14ac:dyDescent="0.15">
      <c r="A15">
        <v>0.87266462599716499</v>
      </c>
      <c r="B15">
        <v>9.6404404302761398E-2</v>
      </c>
      <c r="C15">
        <v>0.102752485148652</v>
      </c>
      <c r="D15">
        <v>0.112717366536148</v>
      </c>
      <c r="R15">
        <v>222</v>
      </c>
    </row>
    <row r="16" spans="1:18" x14ac:dyDescent="0.15">
      <c r="A16">
        <v>0.95993108859688103</v>
      </c>
      <c r="B16">
        <v>0.114415712852866</v>
      </c>
      <c r="C16">
        <v>0.11044656620889901</v>
      </c>
      <c r="D16">
        <v>0.12722112864763599</v>
      </c>
    </row>
    <row r="17" spans="1:10" x14ac:dyDescent="0.15">
      <c r="A17">
        <v>1.0471975511966001</v>
      </c>
      <c r="B17">
        <v>0.12734449340182</v>
      </c>
      <c r="C17">
        <v>0.10481180814546701</v>
      </c>
      <c r="D17">
        <v>0.13194455836051999</v>
      </c>
    </row>
    <row r="18" spans="1:10" x14ac:dyDescent="0.15">
      <c r="A18">
        <v>1.13446401379631</v>
      </c>
      <c r="B18">
        <v>0.11653426316692</v>
      </c>
      <c r="C18">
        <v>0.113151330133636</v>
      </c>
      <c r="D18">
        <v>0.129943884511105</v>
      </c>
    </row>
    <row r="19" spans="1:10" x14ac:dyDescent="0.15">
      <c r="A19">
        <v>1.2217304763960299</v>
      </c>
      <c r="B19">
        <v>0.14722937110335699</v>
      </c>
      <c r="C19">
        <v>0.105740550632465</v>
      </c>
      <c r="D19">
        <v>0.150365553159441</v>
      </c>
    </row>
    <row r="20" spans="1:10" x14ac:dyDescent="0.15">
      <c r="A20">
        <v>1.3089969389957501</v>
      </c>
      <c r="B20">
        <v>0.19996638206058301</v>
      </c>
      <c r="C20">
        <v>0.119190932832967</v>
      </c>
      <c r="D20">
        <v>0.201287478382664</v>
      </c>
    </row>
    <row r="21" spans="1:10" x14ac:dyDescent="0.15">
      <c r="A21">
        <v>1.39626340159546</v>
      </c>
      <c r="B21">
        <v>0.195550423711429</v>
      </c>
      <c r="C21">
        <v>0.123218319821101</v>
      </c>
      <c r="D21">
        <v>0.19790102555998401</v>
      </c>
    </row>
    <row r="22" spans="1:10" x14ac:dyDescent="0.15">
      <c r="A22">
        <v>1.48352986419518</v>
      </c>
      <c r="B22">
        <v>0.23891485265779699</v>
      </c>
      <c r="C22">
        <v>0.14574383059780099</v>
      </c>
      <c r="D22">
        <v>0.242018594909096</v>
      </c>
    </row>
    <row r="23" spans="1:10" x14ac:dyDescent="0.15">
      <c r="A23">
        <v>1.5707963267949001</v>
      </c>
      <c r="B23">
        <v>0.22422937900353401</v>
      </c>
      <c r="C23">
        <v>0.14461754225656301</v>
      </c>
      <c r="D23">
        <v>0.22881801939514301</v>
      </c>
    </row>
    <row r="26" spans="1:10" x14ac:dyDescent="0.15">
      <c r="B26" s="2"/>
      <c r="C26" s="3"/>
      <c r="D26" s="3"/>
      <c r="E26" s="2"/>
      <c r="F26" s="3"/>
      <c r="G26" s="3"/>
      <c r="H26" s="2"/>
      <c r="I26" s="3"/>
      <c r="J26" s="3"/>
    </row>
  </sheetData>
  <mergeCells count="6">
    <mergeCell ref="B3:D3"/>
    <mergeCell ref="B26:D26"/>
    <mergeCell ref="E26:G26"/>
    <mergeCell ref="E3:G3"/>
    <mergeCell ref="H26:J26"/>
    <mergeCell ref="H3:J3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Acceleration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HIT</cp:lastModifiedBy>
  <dcterms:created xsi:type="dcterms:W3CDTF">2025-07-15T12:41:56Z</dcterms:created>
  <dcterms:modified xsi:type="dcterms:W3CDTF">2025-07-16T05:28:36Z</dcterms:modified>
</cp:coreProperties>
</file>